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Готовность" sheetId="2" state="visible" r:id="rId4"/>
    <sheet name="Что уже есть" sheetId="3" state="visible" r:id="rId5"/>
    <sheet name="Программы" sheetId="4" state="visible" r:id="rId6"/>
    <sheet name="Пороговые баллы" sheetId="5" state="visible" r:id="rId7"/>
    <sheet name="Языки и элективы" sheetId="6" state="visible" r:id="rId8"/>
    <sheet name="Международные" sheetId="7" state="visible" r:id="rId9"/>
    <sheet name="Инфраструктура" sheetId="8" state="visible" r:id="rId10"/>
    <sheet name="Студенческая жизнь" sheetId="9" state="visible" r:id="rId11"/>
    <sheet name="Сроки и стипендии" sheetId="10" state="visible" r:id="rId12"/>
    <sheet name="FAQ" sheetId="11" state="visible" r:id="rId13"/>
    <sheet name="Контакты" sheetId="12" state="visible" r:id="rId14"/>
    <sheet name="Профориентация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<sst xmlns="http://schemas.openxmlformats.org/spreadsheetml/2006/main" count="473" uniqueCount="286">
  <si>
    <t xml:space="preserve">Сбор данных для AI-консультанта Международного университета «Ала-Тоо»</t>
  </si>
  <si>
    <t xml:space="preserve">Здравствуйте! Благодарим вас за помощь в подготовке данных для университетского чат-бота. Пожалуйста, заполните этот файл — он создан так, чтобы это было удобно и быстро.</t>
  </si>
  <si>
    <t xml:space="preserve">Как это работает</t>
  </si>
  <si>
    <t xml:space="preserve">Чат-бот будет отвечать абитуриентам и студентам, опираясь только на то, что мы сюда внесём. Поэтому нам важны точные и полные сведения.</t>
  </si>
  <si>
    <t xml:space="preserve">Шаг 1</t>
  </si>
  <si>
    <t xml:space="preserve">Откройте лист «Что уже есть» — это у нас уже есть, повторно вносить не нужно.</t>
  </si>
  <si>
    <t xml:space="preserve">Шаг 2</t>
  </si>
  <si>
    <t xml:space="preserve">Заполняйте листы с данными (вкладки внизу). Вносите данные в ЖЁЛТЫЕ ячейки.</t>
  </si>
  <si>
    <t xml:space="preserve">Шаг 3</t>
  </si>
  <si>
    <t xml:space="preserve">В каждой строке выберите «Статус»: Готово / В работе / Нет данных. По нему мы видим, что можно обрабатывать.</t>
  </si>
  <si>
    <t xml:space="preserve">Шаг 4</t>
  </si>
  <si>
    <t xml:space="preserve">Загляните на лист «Готовность» — он автоматически показывает прогресс по каждому разделу.</t>
  </si>
  <si>
    <t xml:space="preserve">Условные обозначения:</t>
  </si>
  <si>
    <t xml:space="preserve">Жёлтый</t>
  </si>
  <si>
    <t xml:space="preserve">Поле, которое нужно заполнить.</t>
  </si>
  <si>
    <t xml:space="preserve">Зелёный</t>
  </si>
  <si>
    <t xml:space="preserve">Строка-пример. Пожалуйста, не удаляйте её — просто добавляйте свои строки ниже.</t>
  </si>
  <si>
    <t xml:space="preserve">Серый</t>
  </si>
  <si>
    <t xml:space="preserve">Служебные поля (язык, источник, дата) — помогают нам обработать данные.</t>
  </si>
  <si>
    <t xml:space="preserve">Несколько просьб по оформлению (чтобы данные сразу подошли для загрузки):</t>
  </si>
  <si>
    <t xml:space="preserve">Текст</t>
  </si>
  <si>
    <t xml:space="preserve">Пожалуйста, вводите данные текстом, а не картинкой или скриншотом.</t>
  </si>
  <si>
    <t xml:space="preserve">Язык</t>
  </si>
  <si>
    <t xml:space="preserve">Для каждой записи указывайте язык (rus / kyr / eng) и не смешивайте языки в одном предложении.</t>
  </si>
  <si>
    <t xml:space="preserve">Даты</t>
  </si>
  <si>
    <t xml:space="preserve">Формат даты — ДД.ММ.ГГГГ (например, 16.06.2026).</t>
  </si>
  <si>
    <t xml:space="preserve">Если нет данных</t>
  </si>
  <si>
    <t xml:space="preserve">Пожалуйста, оставьте поле пустым, выберите статус «Нет данных» и при необходимости поясните в примечании. Просим ничего не указывать приблизительно.</t>
  </si>
  <si>
    <t xml:space="preserve">Заполнять можно онлайн (в браузере). Когда закончите — сохраните файл, изменения подтянутся автоматически. Спасибо!</t>
  </si>
  <si>
    <t xml:space="preserve">Готовность данных</t>
  </si>
  <si>
    <t xml:space="preserve">Сводка обновляется автоматически по статусам в листах. Зелёный прогресс — раздел можно обрабатывать.</t>
  </si>
  <si>
    <t xml:space="preserve">Раздел</t>
  </si>
  <si>
    <t xml:space="preserve">Всего пунктов</t>
  </si>
  <si>
    <t xml:space="preserve">Отмечено «Готово»</t>
  </si>
  <si>
    <t xml:space="preserve">Готовность</t>
  </si>
  <si>
    <t xml:space="preserve">Программы</t>
  </si>
  <si>
    <t xml:space="preserve">Пороговые баллы</t>
  </si>
  <si>
    <t xml:space="preserve">Языки и элективы</t>
  </si>
  <si>
    <t xml:space="preserve">Международные</t>
  </si>
  <si>
    <t xml:space="preserve">Инфраструктура</t>
  </si>
  <si>
    <t xml:space="preserve">Студенческая жизнь</t>
  </si>
  <si>
    <t xml:space="preserve">Сроки и стипендии</t>
  </si>
  <si>
    <t xml:space="preserve">FAQ</t>
  </si>
  <si>
    <t xml:space="preserve">Контакты</t>
  </si>
  <si>
    <t xml:space="preserve">Профориентация</t>
  </si>
  <si>
    <t xml:space="preserve">Что у нас уже есть</t>
  </si>
  <si>
    <t xml:space="preserve">Эти сведения уже собраны и актуальны на 2026–2027 учебный год. Их вносить не нужно — благодарим! Если что-то изменилось, пожалуйста, сообщите.</t>
  </si>
  <si>
    <t xml:space="preserve">Данные</t>
  </si>
  <si>
    <t xml:space="preserve">Источник</t>
  </si>
  <si>
    <t xml:space="preserve">Актуальность</t>
  </si>
  <si>
    <t xml:space="preserve">Стоимость обучения: бакалавриат, колледж, магистратура, аспирантура, PhD</t>
  </si>
  <si>
    <t xml:space="preserve">Списки цен (PDF)</t>
  </si>
  <si>
    <t xml:space="preserve">2026–2027</t>
  </si>
  <si>
    <t xml:space="preserve">Перечень программ и факультетов</t>
  </si>
  <si>
    <t xml:space="preserve">Те же PDF</t>
  </si>
  <si>
    <t xml:space="preserve">Скидки и финансовая поддержка</t>
  </si>
  <si>
    <t xml:space="preserve">PDF скидок</t>
  </si>
  <si>
    <t xml:space="preserve">Правила поступления, документы, перевод, поступление после колледжа</t>
  </si>
  <si>
    <t xml:space="preserve">Файл alatoo 2026</t>
  </si>
  <si>
    <t xml:space="preserve">2026</t>
  </si>
  <si>
    <t xml:space="preserve">Справочник сотрудников и кабинетов</t>
  </si>
  <si>
    <t xml:space="preserve">Файл «Кабинеты»</t>
  </si>
  <si>
    <t xml:space="preserve">есть</t>
  </si>
  <si>
    <t xml:space="preserve">Миссия, история, банковские реквизиты</t>
  </si>
  <si>
    <t xml:space="preserve">Файл alatoo2024</t>
  </si>
  <si>
    <t xml:space="preserve">база</t>
  </si>
  <si>
    <t xml:space="preserve">Образовательные программы</t>
  </si>
  <si>
    <t xml:space="preserve">Пожалуйста, заполните жёлтые поля по каждой программе. Если программа закрыта или переименована — отметьте это в «Примечании».</t>
  </si>
  <si>
    <t xml:space="preserve">Факультет</t>
  </si>
  <si>
    <t xml:space="preserve">Программа</t>
  </si>
  <si>
    <t xml:space="preserve">Степень</t>
  </si>
  <si>
    <t xml:space="preserve">Краткое описание (2–3 предложения)</t>
  </si>
  <si>
    <t xml:space="preserve">Основные изучаемые предметы</t>
  </si>
  <si>
    <t xml:space="preserve">Кем можно работать</t>
  </si>
  <si>
    <t xml:space="preserve">Примечание</t>
  </si>
  <si>
    <t xml:space="preserve">Статус</t>
  </si>
  <si>
    <t xml:space="preserve">Инженерия и информатика</t>
  </si>
  <si>
    <t xml:space="preserve">Компьютерная инженерия</t>
  </si>
  <si>
    <t xml:space="preserve">Бакалавр</t>
  </si>
  <si>
    <t xml:space="preserve">Готовит инженеров-программистов: разработка ПО, систем и приложений для местного и международного IT-рынка.</t>
  </si>
  <si>
    <t xml:space="preserve">Программирование, алгоритмы, базы данных, сети, ОС</t>
  </si>
  <si>
    <t xml:space="preserve">Разработчик ПО, бэкенд/фронтенд-инженер, системный инженер</t>
  </si>
  <si>
    <t xml:space="preserve">rus</t>
  </si>
  <si>
    <t xml:space="preserve">Готово</t>
  </si>
  <si>
    <t xml:space="preserve">Кибербезопасность и этичный хакинг</t>
  </si>
  <si>
    <t xml:space="preserve">Основы креативных индустрий</t>
  </si>
  <si>
    <t xml:space="preserve">Анализ данных и интеллектуальные системы</t>
  </si>
  <si>
    <t xml:space="preserve">Прикладная математика и информатика в образовании</t>
  </si>
  <si>
    <t xml:space="preserve">Искусственный интеллект и робототехника</t>
  </si>
  <si>
    <t xml:space="preserve">Менеджмент качества в информационных технологиях</t>
  </si>
  <si>
    <t xml:space="preserve">Экономика и управление</t>
  </si>
  <si>
    <t xml:space="preserve">Экономика (международная экономика и бизнес)</t>
  </si>
  <si>
    <t xml:space="preserve">Экономика (финансы и кредит)</t>
  </si>
  <si>
    <t xml:space="preserve">Экономика (международный бухгалтерский учёт и аудит)</t>
  </si>
  <si>
    <t xml:space="preserve">Экономика (экономика окружающей среды)</t>
  </si>
  <si>
    <t xml:space="preserve">Менеджмент</t>
  </si>
  <si>
    <t xml:space="preserve">Менеджмент (индустрия гостеприимства и туризма)</t>
  </si>
  <si>
    <t xml:space="preserve">Юриспруденция (международное и бизнес право)</t>
  </si>
  <si>
    <t xml:space="preserve">Гуманитарные науки</t>
  </si>
  <si>
    <t xml:space="preserve">Филология (английский язык и литература)</t>
  </si>
  <si>
    <t xml:space="preserve">Филологическое образование</t>
  </si>
  <si>
    <t xml:space="preserve">Лингвистика (перевод и переводоведение)</t>
  </si>
  <si>
    <t xml:space="preserve">Педагогика</t>
  </si>
  <si>
    <t xml:space="preserve">Педагогика (STEM образование)</t>
  </si>
  <si>
    <t xml:space="preserve">Логопедия</t>
  </si>
  <si>
    <t xml:space="preserve">Социальные науки</t>
  </si>
  <si>
    <t xml:space="preserve">Международные отношения</t>
  </si>
  <si>
    <t xml:space="preserve">Психология</t>
  </si>
  <si>
    <t xml:space="preserve">Социальная психология</t>
  </si>
  <si>
    <t xml:space="preserve">Медиа, коммуникация и дизайн (журналистика)</t>
  </si>
  <si>
    <t xml:space="preserve">Реклама и связь с общественностью</t>
  </si>
  <si>
    <t xml:space="preserve">Медицинский</t>
  </si>
  <si>
    <t xml:space="preserve">Лечебное дело</t>
  </si>
  <si>
    <t xml:space="preserve">Специалитет</t>
  </si>
  <si>
    <t xml:space="preserve">Подготовительный</t>
  </si>
  <si>
    <t xml:space="preserve">Подготовительный курс</t>
  </si>
  <si>
    <t xml:space="preserve">IT &amp; Business College</t>
  </si>
  <si>
    <t xml:space="preserve">Экономика и бухгалтерский учёт</t>
  </si>
  <si>
    <t xml:space="preserve">Колледж</t>
  </si>
  <si>
    <t xml:space="preserve">Маркетинг</t>
  </si>
  <si>
    <t xml:space="preserve">Компьютерные системы и комплексы</t>
  </si>
  <si>
    <t xml:space="preserve">Программное обеспечение ВТ и АС</t>
  </si>
  <si>
    <t xml:space="preserve">Дизайн (компьютерно-графический)</t>
  </si>
  <si>
    <t xml:space="preserve">Иностранный язык</t>
  </si>
  <si>
    <t xml:space="preserve">Переводческое дело (по отраслям)</t>
  </si>
  <si>
    <t xml:space="preserve">Магистратура</t>
  </si>
  <si>
    <t xml:space="preserve">Информатика и вычислительная техника</t>
  </si>
  <si>
    <t xml:space="preserve">Магистр</t>
  </si>
  <si>
    <t xml:space="preserve">Экономика</t>
  </si>
  <si>
    <t xml:space="preserve">Юриспруденция</t>
  </si>
  <si>
    <t xml:space="preserve">Лингвистика</t>
  </si>
  <si>
    <t xml:space="preserve">Филология</t>
  </si>
  <si>
    <t xml:space="preserve">Журналистика</t>
  </si>
  <si>
    <t xml:space="preserve">Пороговые баллы ОРТ</t>
  </si>
  <si>
    <t xml:space="preserve">Пожалуйста, укажите минимальный балл ОРТ и нужен ли дополнительный профильный предмет — по каждой программе бакалавриата.</t>
  </si>
  <si>
    <t xml:space="preserve">Доп. предмет ОРТ</t>
  </si>
  <si>
    <t xml:space="preserve">Пороговый балл ОРТ</t>
  </si>
  <si>
    <t xml:space="preserve">Языки обучения и элективы</t>
  </si>
  <si>
    <t xml:space="preserve">Пожалуйста, расскажите, на каких языках идёт обучение и какие курсы по выбору доступны.</t>
  </si>
  <si>
    <t xml:space="preserve">A. Языки обучения</t>
  </si>
  <si>
    <t xml:space="preserve">Вопрос</t>
  </si>
  <si>
    <t xml:space="preserve">Ответ</t>
  </si>
  <si>
    <t xml:space="preserve">Языки обучения (основной и где какой)</t>
  </si>
  <si>
    <t xml:space="preserve">Доступные вторые иностранные языки (нем., кит., япон., фр. и др.)</t>
  </si>
  <si>
    <t xml:space="preserve">Подготовительный курс английского — для кого</t>
  </si>
  <si>
    <t xml:space="preserve">Требуемый стартовый уровень английского (B1/B2)</t>
  </si>
  <si>
    <t xml:space="preserve">B. Элективные курсы (курсы по выбору)</t>
  </si>
  <si>
    <t xml:space="preserve">Факультет / программа</t>
  </si>
  <si>
    <t xml:space="preserve">Электив (название)</t>
  </si>
  <si>
    <t xml:space="preserve">О чём курс (1 строка)</t>
  </si>
  <si>
    <t xml:space="preserve">Машинное обучение</t>
  </si>
  <si>
    <t xml:space="preserve">Основы ML на Python</t>
  </si>
  <si>
    <t xml:space="preserve">eng</t>
  </si>
  <si>
    <t xml:space="preserve">Обмен студентами и двойной диплом</t>
  </si>
  <si>
    <t xml:space="preserve">Пожалуйста, дополните сведения о партнёрских вузах и условиях участия.</t>
  </si>
  <si>
    <t xml:space="preserve">A. Двойной диплом</t>
  </si>
  <si>
    <t xml:space="preserve">North American University</t>
  </si>
  <si>
    <t xml:space="preserve">США</t>
  </si>
  <si>
    <t xml:space="preserve">IT, менеджмент, педагогика</t>
  </si>
  <si>
    <t xml:space="preserve">2+2</t>
  </si>
  <si>
    <t xml:space="preserve">высокий GPA, отбор</t>
  </si>
  <si>
    <t xml:space="preserve">SolBridge (Woosong University)</t>
  </si>
  <si>
    <t xml:space="preserve">Ю. Корея</t>
  </si>
  <si>
    <t xml:space="preserve">менеджмент, экономика, финансы, бизнес</t>
  </si>
  <si>
    <t xml:space="preserve">3+1</t>
  </si>
  <si>
    <t xml:space="preserve">отбор; возможны скидки</t>
  </si>
  <si>
    <t xml:space="preserve">Inha University</t>
  </si>
  <si>
    <t xml:space="preserve">менеджмент, экономика, IT</t>
  </si>
  <si>
    <t xml:space="preserve">отбор</t>
  </si>
  <si>
    <t xml:space="preserve">Hof University of Applied Sciences</t>
  </si>
  <si>
    <t xml:space="preserve">Германия</t>
  </si>
  <si>
    <t xml:space="preserve">Информатика и выч. техника</t>
  </si>
  <si>
    <t xml:space="preserve">отбор; возможна стажировка</t>
  </si>
  <si>
    <t xml:space="preserve">Bialystok University</t>
  </si>
  <si>
    <t xml:space="preserve">Польша</t>
  </si>
  <si>
    <t xml:space="preserve">программисты</t>
  </si>
  <si>
    <t xml:space="preserve">2 года в Польше</t>
  </si>
  <si>
    <t xml:space="preserve">B. Обмен студентами (Erasmus+, меморандумы)</t>
  </si>
  <si>
    <t xml:space="preserve">Программа/вуз</t>
  </si>
  <si>
    <t xml:space="preserve">Страна</t>
  </si>
  <si>
    <t xml:space="preserve">Для кого</t>
  </si>
  <si>
    <t xml:space="preserve">Срок</t>
  </si>
  <si>
    <t xml:space="preserve">Условия и стипендия</t>
  </si>
  <si>
    <t xml:space="preserve">Контакт/ссылка</t>
  </si>
  <si>
    <t xml:space="preserve">Erasmus+ (University of Clermont Auvergne)</t>
  </si>
  <si>
    <t xml:space="preserve">Франция</t>
  </si>
  <si>
    <t xml:space="preserve">магистратура «Экономика развития»</t>
  </si>
  <si>
    <t xml:space="preserve">1 год</t>
  </si>
  <si>
    <t xml:space="preserve">стипендия Erasmus+, высокий GPA</t>
  </si>
  <si>
    <t xml:space="preserve">Инфраструктура, кампус и техника</t>
  </si>
  <si>
    <t xml:space="preserve">Пожалуйста, заполните «Ответ» по каждому пункту. Для карты, схем и фото — приложите файл и кратко опишите его в таблице.</t>
  </si>
  <si>
    <t xml:space="preserve">Файл-приложение</t>
  </si>
  <si>
    <t xml:space="preserve">Корпуса</t>
  </si>
  <si>
    <t xml:space="preserve">Сколько корпусов, как называются, адреса</t>
  </si>
  <si>
    <t xml:space="preserve">Карта</t>
  </si>
  <si>
    <t xml:space="preserve">Есть ли карта/схема кампуса (приложите файл); что где находится</t>
  </si>
  <si>
    <t xml:space="preserve">Аудитории</t>
  </si>
  <si>
    <t xml:space="preserve">Сколько аудиторий, есть ли навигация/нумерация</t>
  </si>
  <si>
    <t xml:space="preserve">Лаборатории</t>
  </si>
  <si>
    <t xml:space="preserve">Какие лаборатории и научные центры (Cybersecurity, Medical Research, 4i и др.)</t>
  </si>
  <si>
    <t xml:space="preserve">Техника</t>
  </si>
  <si>
    <t xml:space="preserve">Компьютерные классы, оборудование, ПО, робототехника — что доступно студентам</t>
  </si>
  <si>
    <t xml:space="preserve">Библиотека</t>
  </si>
  <si>
    <t xml:space="preserve">Часы работы, фонд, электронные ресурсы (Scopus и др.), как пользоваться</t>
  </si>
  <si>
    <t xml:space="preserve">Wi-Fi / IT</t>
  </si>
  <si>
    <t xml:space="preserve">Есть ли Wi-Fi, как подключиться, какая IT-поддержка для студентов</t>
  </si>
  <si>
    <t xml:space="preserve">Общежитие</t>
  </si>
  <si>
    <t xml:space="preserve">Есть/нет, адрес, цена, условия, как заселиться</t>
  </si>
  <si>
    <t xml:space="preserve">Питание</t>
  </si>
  <si>
    <t xml:space="preserve">Столовая/кафе, где находятся, примерные цены</t>
  </si>
  <si>
    <t xml:space="preserve">Спорт</t>
  </si>
  <si>
    <t xml:space="preserve">Спортзал и секции, что доступно</t>
  </si>
  <si>
    <t xml:space="preserve">Медпункт</t>
  </si>
  <si>
    <t xml:space="preserve">Есть ли медпункт/первая помощь, где</t>
  </si>
  <si>
    <t xml:space="preserve">Транспорт</t>
  </si>
  <si>
    <t xml:space="preserve">Как добраться, есть ли парковка</t>
  </si>
  <si>
    <t xml:space="preserve">Доступность</t>
  </si>
  <si>
    <t xml:space="preserve">Условия для маломобильных студентов (пандусы, лифты)</t>
  </si>
  <si>
    <t xml:space="preserve">Студенческая жизнь и поддержка</t>
  </si>
  <si>
    <t xml:space="preserve">Пожалуйста, расскажите о клубах, мероприятиях и службах поддержки студентов.</t>
  </si>
  <si>
    <t xml:space="preserve">Категория</t>
  </si>
  <si>
    <t xml:space="preserve">Название</t>
  </si>
  <si>
    <t xml:space="preserve">Описание (1–2 строки)</t>
  </si>
  <si>
    <t xml:space="preserve">Как присоединиться / контакт</t>
  </si>
  <si>
    <t xml:space="preserve">Клуб</t>
  </si>
  <si>
    <t xml:space="preserve">IR Club</t>
  </si>
  <si>
    <t xml:space="preserve">клуб факультета междунар. отношений: дебаты, модель ООН, встречи</t>
  </si>
  <si>
    <t xml:space="preserve">Mental Health Club</t>
  </si>
  <si>
    <t xml:space="preserve">психологическое здоровье: семинары, арт-терапия, недели мент. здоровья</t>
  </si>
  <si>
    <t xml:space="preserve">Спортивные секции</t>
  </si>
  <si>
    <t xml:space="preserve">футбол, волейбол, баскетбол, теннис, шахматы, тогуз коргоол</t>
  </si>
  <si>
    <t xml:space="preserve">Карьерный центр (чем помогает, где, контакт)</t>
  </si>
  <si>
    <t xml:space="preserve">Психологическая поддержка (есть ли психолог, как обратиться)</t>
  </si>
  <si>
    <t xml:space="preserve">Главные ежегодные мероприятия</t>
  </si>
  <si>
    <t xml:space="preserve">Волонтёрство / студсовет</t>
  </si>
  <si>
    <t xml:space="preserve">Сроки приёма, стипендии, оплата</t>
  </si>
  <si>
    <t xml:space="preserve">Пожалуйста, укажите точные даты на 2026–2027 и условия.</t>
  </si>
  <si>
    <t xml:space="preserve">Даты приёма документов на БАКАЛАВРИАТ 2026–2027 (с / по)</t>
  </si>
  <si>
    <t xml:space="preserve">Даты приёма на МАГИСТРАТУРУ 2026–2027 (с / по)</t>
  </si>
  <si>
    <t xml:space="preserve">Даты приёма в КОЛЛЕДЖ и туры экзаменов</t>
  </si>
  <si>
    <t xml:space="preserve">Даты приёма в аспирантуру/докторантуру</t>
  </si>
  <si>
    <t xml:space="preserve">Когда начинается учебный год / ориентация</t>
  </si>
  <si>
    <t xml:space="preserve">Стипендии помимо скидок: какие, кому, как получить</t>
  </si>
  <si>
    <t xml:space="preserve">Возможна ли рассрочка оплаты, условия</t>
  </si>
  <si>
    <t xml:space="preserve">Возврат оплаты при отчислении — правила</t>
  </si>
  <si>
    <t xml:space="preserve">Частые вопросы абитуриентов</t>
  </si>
  <si>
    <t xml:space="preserve">Пожалуйста, добавьте реальные вопросы, которые задают абитуриенты, и короткие ответы. Это особенно ценно для бота. Спасибо!</t>
  </si>
  <si>
    <t xml:space="preserve">Пример: Есть ли военная кафедра?</t>
  </si>
  <si>
    <t xml:space="preserve">Пример: (ваш ответ)</t>
  </si>
  <si>
    <t xml:space="preserve">Учёба</t>
  </si>
  <si>
    <t xml:space="preserve">Контакты подразделений</t>
  </si>
  <si>
    <t xml:space="preserve">Пожалуйста, укажите по одному актуальному контакту на каждое подразделение.</t>
  </si>
  <si>
    <t xml:space="preserve">Подразделение</t>
  </si>
  <si>
    <t xml:space="preserve">Телефон</t>
  </si>
  <si>
    <t xml:space="preserve">WhatsApp</t>
  </si>
  <si>
    <t xml:space="preserve">E-mail</t>
  </si>
  <si>
    <t xml:space="preserve">Instagram</t>
  </si>
  <si>
    <t xml:space="preserve">Кабинет / часы</t>
  </si>
  <si>
    <t xml:space="preserve">Приёмная комиссия (университет)</t>
  </si>
  <si>
    <t xml:space="preserve">Деканат: Инженерия и информатика</t>
  </si>
  <si>
    <t xml:space="preserve">Деканат: Экономика и управление</t>
  </si>
  <si>
    <t xml:space="preserve">Деканат: Гуманитарные науки</t>
  </si>
  <si>
    <t xml:space="preserve">Деканат: Социальные науки</t>
  </si>
  <si>
    <t xml:space="preserve">Медицинский факультет</t>
  </si>
  <si>
    <t xml:space="preserve">Аспирантура / докторантура</t>
  </si>
  <si>
    <t xml:space="preserve">Центр дистанционного обучения</t>
  </si>
  <si>
    <t xml:space="preserve">Отдел междунар. связей</t>
  </si>
  <si>
    <t xml:space="preserve">Карьерный центр</t>
  </si>
  <si>
    <t xml:space="preserve">Общежитие / студ. отдел</t>
  </si>
  <si>
    <t xml:space="preserve">Профориентация: интересы → программы</t>
  </si>
  <si>
    <t xml:space="preserve">Пожалуйста, подскажите, какие программ Ала-Тоо подходят под каждый тип интересов абитуриента.</t>
  </si>
  <si>
    <t xml:space="preserve">Тип интересов</t>
  </si>
  <si>
    <t xml:space="preserve">Что нравится таким абитуриентам</t>
  </si>
  <si>
    <t xml:space="preserve">Подходящие программы Ала-Тоо</t>
  </si>
  <si>
    <t xml:space="preserve">Реалистичный (R)</t>
  </si>
  <si>
    <t xml:space="preserve">техника, руки, механизмы, «делать»</t>
  </si>
  <si>
    <t xml:space="preserve">Исследовательский (I)</t>
  </si>
  <si>
    <t xml:space="preserve">анализ, наука, решать задачи</t>
  </si>
  <si>
    <t xml:space="preserve">Артистичный (A)</t>
  </si>
  <si>
    <t xml:space="preserve">творчество, дизайн, самовыражение</t>
  </si>
  <si>
    <t xml:space="preserve">Социальный (S)</t>
  </si>
  <si>
    <t xml:space="preserve">помогать, учить, общаться</t>
  </si>
  <si>
    <t xml:space="preserve">Предприимчивый (E)</t>
  </si>
  <si>
    <t xml:space="preserve">лидерство, бизнес, убеждать</t>
  </si>
  <si>
    <t xml:space="preserve">Конвенциональный (C)</t>
  </si>
  <si>
    <t xml:space="preserve">порядок, данные, цифры, документы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</si>
</sst>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6"/>
      <color rgb="FF1F4E79"/>
      <name val="Calibri"/>
      <family val="0"/>
      <charset val="1"/>
    </font>
    <font>
      <i val="true"/>
      <sz val="10.5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AF1FB"/>
        <bgColor rgb="FFF0F0F0"/>
      </patternFill>
    </fill>
    <fill>
      <patternFill patternType="solid">
        <fgColor rgb="FFE2EFDA"/>
        <bgColor rgb="FFE2E2E2"/>
      </patternFill>
    </fill>
    <fill>
      <patternFill patternType="solid">
        <fgColor rgb="FFFFF7E0"/>
        <bgColor rgb="FFFFF2CC"/>
      </patternFill>
    </fill>
    <fill>
      <patternFill patternType="solid">
        <fgColor rgb="FFF0F0F0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E6B2F"/>
        <sz val="11"/>
      </font>
      <fill>
        <patternFill>
          <bgColor rgb="FFC6EFCE"/>
        </patternFill>
      </fill>
    </dxf>
    <dxf>
      <font>
        <color rgb="FF8A6D00"/>
        <sz val="11"/>
      </font>
      <fill>
        <patternFill>
          <bgColor rgb="FFFFF2CC"/>
        </patternFill>
      </fill>
    </dxf>
    <dxf>
      <font>
        <color rgb="FF666666"/>
        <sz val="11"/>
      </font>
      <fill>
        <patternFill>
          <bgColor rgb="FFE2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8A6D00"/>
      <rgbColor rgb="FF800080"/>
      <rgbColor rgb="FF008080"/>
      <rgbColor rgb="FFF0F0F0"/>
      <rgbColor rgb="FF808080"/>
      <rgbColor rgb="FF9999FF"/>
      <rgbColor rgb="FF993366"/>
      <rgbColor rgb="FFFFF7E0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9CCFF"/>
      <rgbColor rgb="FFFF99CC"/>
      <rgbColor rgb="FFCC99FF"/>
      <rgbColor rgb="FFE2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8"/>
  </cols>
  <sheetData>
    <row r="1" customFormat="false" ht="24" hidden="false" customHeight="true" outlineLevel="0" collapsed="false">
      <c r="A1" s="1" t="s">
        <v>0</v>
      </c>
      <c r="B1" s="1"/>
    </row>
    <row r="3" customFormat="false" ht="30" hidden="false" customHeight="true" outlineLevel="0" collapsed="false">
      <c r="A3" s="2"/>
      <c r="B3" s="3" t="s">
        <v>1</v>
      </c>
    </row>
    <row r="4" customFormat="false" ht="30" hidden="false" customHeight="true" outlineLevel="0" collapsed="false">
      <c r="A4" s="2" t="s">
        <v>2</v>
      </c>
      <c r="B4" s="3" t="s">
        <v>3</v>
      </c>
    </row>
    <row r="5" customFormat="false" ht="18" hidden="false" customHeight="true" outlineLevel="0" collapsed="false">
      <c r="A5" s="2" t="s">
        <v>4</v>
      </c>
      <c r="B5" s="3" t="s">
        <v>5</v>
      </c>
    </row>
    <row r="6" customFormat="false" ht="18" hidden="false" customHeight="true" outlineLevel="0" collapsed="false">
      <c r="A6" s="2" t="s">
        <v>6</v>
      </c>
      <c r="B6" s="3" t="s">
        <v>7</v>
      </c>
    </row>
    <row r="7" customFormat="false" ht="30" hidden="false" customHeight="true" outlineLevel="0" collapsed="false">
      <c r="A7" s="2" t="s">
        <v>8</v>
      </c>
      <c r="B7" s="3" t="s">
        <v>9</v>
      </c>
    </row>
    <row r="8" customFormat="false" ht="18" hidden="false" customHeight="true" outlineLevel="0" collapsed="false">
      <c r="A8" s="2" t="s">
        <v>10</v>
      </c>
      <c r="B8" s="3" t="s">
        <v>11</v>
      </c>
    </row>
    <row r="9" customFormat="false" ht="18" hidden="false" customHeight="true" outlineLevel="0" collapsed="false">
      <c r="A9" s="2"/>
      <c r="B9" s="3" t="s">
        <v>12</v>
      </c>
    </row>
    <row r="10" customFormat="false" ht="18" hidden="false" customHeight="true" outlineLevel="0" collapsed="false">
      <c r="A10" s="2" t="s">
        <v>13</v>
      </c>
      <c r="B10" s="3" t="s">
        <v>14</v>
      </c>
    </row>
    <row r="11" customFormat="false" ht="18" hidden="false" customHeight="true" outlineLevel="0" collapsed="false">
      <c r="A11" s="2" t="s">
        <v>15</v>
      </c>
      <c r="B11" s="3" t="s">
        <v>16</v>
      </c>
    </row>
    <row r="12" customFormat="false" ht="18" hidden="false" customHeight="true" outlineLevel="0" collapsed="false">
      <c r="A12" s="2" t="s">
        <v>17</v>
      </c>
      <c r="B12" s="3" t="s">
        <v>18</v>
      </c>
    </row>
    <row r="13" customFormat="false" ht="18" hidden="false" customHeight="true" outlineLevel="0" collapsed="false">
      <c r="A13" s="2"/>
      <c r="B13" s="3" t="s">
        <v>19</v>
      </c>
    </row>
    <row r="14" customFormat="false" ht="18" hidden="false" customHeight="true" outlineLevel="0" collapsed="false">
      <c r="A14" s="2" t="s">
        <v>20</v>
      </c>
      <c r="B14" s="3" t="s">
        <v>21</v>
      </c>
    </row>
    <row r="15" customFormat="false" ht="30" hidden="false" customHeight="true" outlineLevel="0" collapsed="false">
      <c r="A15" s="2" t="s">
        <v>22</v>
      </c>
      <c r="B15" s="3" t="s">
        <v>23</v>
      </c>
    </row>
    <row r="16" customFormat="false" ht="18" hidden="false" customHeight="true" outlineLevel="0" collapsed="false">
      <c r="A16" s="2" t="s">
        <v>24</v>
      </c>
      <c r="B16" s="3" t="s">
        <v>25</v>
      </c>
    </row>
    <row r="17" customFormat="false" ht="30" hidden="false" customHeight="true" outlineLevel="0" collapsed="false">
      <c r="A17" s="2" t="s">
        <v>26</v>
      </c>
      <c r="B17" s="3" t="s">
        <v>27</v>
      </c>
    </row>
    <row r="18" customFormat="false" ht="30" hidden="false" customHeight="true" outlineLevel="0" collapsed="false">
      <c r="A18" s="2"/>
      <c r="B18" s="3" t="s">
        <v>28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4" t="s">
        <v>29</v>
      </c>
      <c r="B1" s="4"/>
      <c r="C1" s="4"/>
      <c r="D1" s="4"/>
    </row>
    <row r="2" customFormat="false" ht="30" hidden="false" customHeight="true" outlineLevel="0" collapsed="false">
      <c r="A2" s="5" t="s">
        <v>30</v>
      </c>
      <c r="B2" s="5"/>
      <c r="C2" s="5"/>
      <c r="D2" s="5"/>
    </row>
    <row r="4" customFormat="false" ht="33.75" hidden="false" customHeight="true" outlineLevel="0" collapsed="false">
      <c r="A4" s="6" t="s">
        <v>31</v>
      </c>
      <c r="B4" s="6" t="s">
        <v>32</v>
      </c>
      <c r="C4" s="6" t="s">
        <v>33</v>
      </c>
      <c r="D4" s="6" t="s">
        <v>34</v>
      </c>
    </row>
    <row r="5" customFormat="false" ht="15" hidden="false" customHeight="false" outlineLevel="0" collapsed="false">
      <c r="A5" s="7" t="s">
        <v>35</v>
      </c>
      <c r="B5" s="7" t="n">
        <f aca="false">46</f>
        <v>46</v>
      </c>
      <c r="C5" s="7" t="n">
        <f aca="false">COUNTIF(Программы!I5:I50,"Готово")</f>
        <v>1</v>
      </c>
      <c r="D5" s="8" t="n">
        <f aca="false">IF(B5=0,0,C5/B5)</f>
        <v>0.0217391304347826</v>
      </c>
    </row>
    <row r="6" customFormat="false" ht="15" hidden="false" customHeight="false" outlineLevel="0" collapsed="false">
      <c r="A6" s="9" t="s">
        <v>36</v>
      </c>
      <c r="B6" s="9" t="n">
        <f aca="false">26</f>
        <v>26</v>
      </c>
      <c r="C6" s="9" t="n">
        <f aca="false">COUNTIF('Пороговые баллы'!E5:E30,"Готово")</f>
        <v>0</v>
      </c>
      <c r="D6" s="10" t="n">
        <f aca="false">IF(B6=0,0,C6/B6)</f>
        <v>0</v>
      </c>
    </row>
    <row r="7" customFormat="false" ht="15" hidden="false" customHeight="false" outlineLevel="0" collapsed="false">
      <c r="A7" s="7" t="s">
        <v>37</v>
      </c>
      <c r="B7" s="7" t="n">
        <f aca="false">4</f>
        <v>4</v>
      </c>
      <c r="C7" s="7" t="n">
        <f aca="false">COUNTIF('Языки и элективы'!E6:E9,"Готово")</f>
        <v>0</v>
      </c>
      <c r="D7" s="8" t="n">
        <f aca="false">IF(B7=0,0,C7/B7)</f>
        <v>0</v>
      </c>
    </row>
    <row r="8" customFormat="false" ht="15" hidden="false" customHeight="false" outlineLevel="0" collapsed="false">
      <c r="A8" s="9" t="s">
        <v>38</v>
      </c>
      <c r="B8" s="9" t="n">
        <f aca="false">6</f>
        <v>6</v>
      </c>
      <c r="C8" s="9" t="n">
        <f aca="false">COUNTIF(Международные!G5:G10,"Готово")</f>
        <v>5</v>
      </c>
      <c r="D8" s="10" t="n">
        <f aca="false">IF(B8=0,0,C8/B8)</f>
        <v>0.833333333333333</v>
      </c>
    </row>
    <row r="9" customFormat="false" ht="15" hidden="false" customHeight="false" outlineLevel="0" collapsed="false">
      <c r="A9" s="7" t="s">
        <v>39</v>
      </c>
      <c r="B9" s="7" t="n">
        <f aca="false">13</f>
        <v>13</v>
      </c>
      <c r="C9" s="7" t="n">
        <f aca="false">COUNTIF(Инфраструктура!E5:E17,"Готово")</f>
        <v>0</v>
      </c>
      <c r="D9" s="8" t="n">
        <f aca="false">IF(B9=0,0,C9/B9)</f>
        <v>0</v>
      </c>
    </row>
    <row r="10" customFormat="false" ht="15" hidden="false" customHeight="false" outlineLevel="0" collapsed="false">
      <c r="A10" s="9" t="s">
        <v>40</v>
      </c>
      <c r="B10" s="9" t="n">
        <f aca="false">12</f>
        <v>12</v>
      </c>
      <c r="C10" s="9" t="n">
        <f aca="false">COUNTIF('Студенческая жизнь'!E5:E16,"Готово")</f>
        <v>3</v>
      </c>
      <c r="D10" s="10" t="n">
        <f aca="false">IF(B10=0,0,C10/B10)</f>
        <v>0.25</v>
      </c>
    </row>
    <row r="11" customFormat="false" ht="15" hidden="false" customHeight="false" outlineLevel="0" collapsed="false">
      <c r="A11" s="7" t="s">
        <v>41</v>
      </c>
      <c r="B11" s="7" t="n">
        <f aca="false">8</f>
        <v>8</v>
      </c>
      <c r="C11" s="7" t="n">
        <f aca="false">COUNTIF('Сроки и стипендии'!D5:D12,"Готово")</f>
        <v>0</v>
      </c>
      <c r="D11" s="8" t="n">
        <f aca="false">IF(B11=0,0,C11/B11)</f>
        <v>0</v>
      </c>
    </row>
    <row r="12" customFormat="false" ht="15" hidden="false" customHeight="false" outlineLevel="0" collapsed="false">
      <c r="A12" s="9" t="s">
        <v>42</v>
      </c>
      <c r="B12" s="9" t="n">
        <f aca="false">25</f>
        <v>25</v>
      </c>
      <c r="C12" s="9" t="n">
        <f aca="false">COUNTIF(FAQ!E5:E29,"Готово")</f>
        <v>1</v>
      </c>
      <c r="D12" s="10" t="n">
        <f aca="false">IF(B12=0,0,C12/B12)</f>
        <v>0.04</v>
      </c>
    </row>
    <row r="13" customFormat="false" ht="15" hidden="false" customHeight="false" outlineLevel="0" collapsed="false">
      <c r="A13" s="7" t="s">
        <v>43</v>
      </c>
      <c r="B13" s="7" t="n">
        <f aca="false">14</f>
        <v>14</v>
      </c>
      <c r="C13" s="7" t="n">
        <f aca="false">COUNTIF(Контакты!G5:G18,"Готово")</f>
        <v>0</v>
      </c>
      <c r="D13" s="8" t="n">
        <f aca="false">IF(B13=0,0,C13/B13)</f>
        <v>0</v>
      </c>
    </row>
    <row r="14" customFormat="false" ht="15" hidden="false" customHeight="false" outlineLevel="0" collapsed="false">
      <c r="A14" s="9" t="s">
        <v>44</v>
      </c>
      <c r="B14" s="9" t="n">
        <f aca="false">6</f>
        <v>6</v>
      </c>
      <c r="C14" s="9" t="n">
        <f aca="false">COUNTIF(Профориентация!D5:D10,"Готово")</f>
        <v>0</v>
      </c>
      <c r="D14" s="10" t="n">
        <f aca="false">IF(B14=0,0,C14/B14)</f>
        <v>0</v>
      </c>
    </row>
  </sheetData>
  <mergeCells count="2">
    <mergeCell ref="A1:D1"/>
    <mergeCell ref="A2:D2"/>
  </mergeCells>
  <conditionalFormatting sqref="D5:D1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4" t="s">
        <v>45</v>
      </c>
      <c r="B1" s="4"/>
      <c r="C1" s="4"/>
    </row>
    <row r="2" customFormat="false" ht="30" hidden="false" customHeight="true" outlineLevel="0" collapsed="false">
      <c r="A2" s="5" t="s">
        <v>46</v>
      </c>
      <c r="B2" s="5"/>
      <c r="C2" s="5"/>
    </row>
    <row r="4" customFormat="false" ht="33.75" hidden="false" customHeight="true" outlineLevel="0" collapsed="false">
      <c r="A4" s="6" t="s">
        <v>47</v>
      </c>
      <c r="B4" s="6" t="s">
        <v>48</v>
      </c>
      <c r="C4" s="6" t="s">
        <v>49</v>
      </c>
    </row>
    <row r="5" customFormat="false" ht="23.85" hidden="false" customHeight="false" outlineLevel="0" collapsed="false">
      <c r="A5" s="11" t="s">
        <v>50</v>
      </c>
      <c r="B5" s="11" t="s">
        <v>51</v>
      </c>
      <c r="C5" s="11" t="s">
        <v>52</v>
      </c>
    </row>
    <row r="6" customFormat="false" ht="15" hidden="false" customHeight="false" outlineLevel="0" collapsed="false">
      <c r="A6" s="11" t="s">
        <v>53</v>
      </c>
      <c r="B6" s="11" t="s">
        <v>54</v>
      </c>
      <c r="C6" s="11" t="s">
        <v>52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52</v>
      </c>
    </row>
    <row r="8" customFormat="false" ht="23.85" hidden="false" customHeight="false" outlineLevel="0" collapsed="false">
      <c r="A8" s="11" t="s">
        <v>57</v>
      </c>
      <c r="B8" s="11" t="s">
        <v>58</v>
      </c>
      <c r="C8" s="11" t="s">
        <v>59</v>
      </c>
    </row>
    <row r="9" customFormat="false" ht="15" hidden="false" customHeight="false" outlineLevel="0" collapsed="false">
      <c r="A9" s="11" t="s">
        <v>60</v>
      </c>
      <c r="B9" s="11" t="s">
        <v>61</v>
      </c>
      <c r="C9" s="11" t="s">
        <v>62</v>
      </c>
    </row>
    <row r="10" customFormat="false" ht="15" hidden="false" customHeight="false" outlineLevel="0" collapsed="false">
      <c r="A10" s="11" t="s">
        <v>63</v>
      </c>
      <c r="B10" s="11" t="s">
        <v>64</v>
      </c>
      <c r="C10" s="11" t="s">
        <v>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4" t="s">
        <v>66</v>
      </c>
      <c r="B1" s="4"/>
      <c r="C1" s="4"/>
      <c r="D1" s="4"/>
      <c r="E1" s="4"/>
      <c r="F1" s="4"/>
      <c r="G1" s="4"/>
      <c r="H1" s="4"/>
      <c r="I1" s="4"/>
    </row>
    <row r="2" customFormat="false" ht="30" hidden="false" customHeight="true" outlineLevel="0" collapsed="false">
      <c r="A2" s="5" t="s">
        <v>67</v>
      </c>
      <c r="B2" s="5"/>
      <c r="C2" s="5"/>
      <c r="D2" s="5"/>
      <c r="E2" s="5"/>
      <c r="F2" s="5"/>
      <c r="G2" s="5"/>
      <c r="H2" s="5"/>
      <c r="I2" s="5"/>
    </row>
    <row r="4" customFormat="false" ht="33.75" hidden="false" customHeight="true" outlineLevel="0" collapsed="false">
      <c r="A4" s="6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22</v>
      </c>
      <c r="I4" s="6" t="s">
        <v>75</v>
      </c>
    </row>
    <row r="5" customFormat="false" ht="35.05" hidden="false" customHeight="false" outlineLevel="0" collapsed="false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81</v>
      </c>
      <c r="G5" s="11"/>
      <c r="H5" s="11" t="s">
        <v>82</v>
      </c>
      <c r="I5" s="11" t="s">
        <v>83</v>
      </c>
    </row>
    <row r="6" customFormat="false" ht="23.85" hidden="false" customHeight="false" outlineLevel="0" collapsed="false">
      <c r="A6" s="9" t="s">
        <v>76</v>
      </c>
      <c r="B6" s="9" t="s">
        <v>77</v>
      </c>
      <c r="C6" s="9" t="s">
        <v>78</v>
      </c>
      <c r="D6" s="12"/>
      <c r="E6" s="12"/>
      <c r="F6" s="12"/>
      <c r="G6" s="12"/>
      <c r="H6" s="13"/>
      <c r="I6" s="14"/>
    </row>
    <row r="7" customFormat="false" ht="23.85" hidden="false" customHeight="false" outlineLevel="0" collapsed="false">
      <c r="A7" s="7" t="s">
        <v>76</v>
      </c>
      <c r="B7" s="7" t="s">
        <v>84</v>
      </c>
      <c r="C7" s="7" t="s">
        <v>78</v>
      </c>
      <c r="D7" s="12"/>
      <c r="E7" s="12"/>
      <c r="F7" s="12"/>
      <c r="G7" s="12"/>
      <c r="H7" s="13"/>
      <c r="I7" s="15"/>
    </row>
    <row r="8" customFormat="false" ht="23.85" hidden="false" customHeight="false" outlineLevel="0" collapsed="false">
      <c r="A8" s="9" t="s">
        <v>76</v>
      </c>
      <c r="B8" s="9" t="s">
        <v>85</v>
      </c>
      <c r="C8" s="9" t="s">
        <v>78</v>
      </c>
      <c r="D8" s="12"/>
      <c r="E8" s="12"/>
      <c r="F8" s="12"/>
      <c r="G8" s="12"/>
      <c r="H8" s="13"/>
      <c r="I8" s="14"/>
    </row>
    <row r="9" customFormat="false" ht="23.85" hidden="false" customHeight="false" outlineLevel="0" collapsed="false">
      <c r="A9" s="7" t="s">
        <v>76</v>
      </c>
      <c r="B9" s="7" t="s">
        <v>86</v>
      </c>
      <c r="C9" s="7" t="s">
        <v>78</v>
      </c>
      <c r="D9" s="12"/>
      <c r="E9" s="12"/>
      <c r="F9" s="12"/>
      <c r="G9" s="12"/>
      <c r="H9" s="13"/>
      <c r="I9" s="15"/>
    </row>
    <row r="10" customFormat="false" ht="23.85" hidden="false" customHeight="false" outlineLevel="0" collapsed="false">
      <c r="A10" s="9" t="s">
        <v>76</v>
      </c>
      <c r="B10" s="9" t="s">
        <v>87</v>
      </c>
      <c r="C10" s="9" t="s">
        <v>78</v>
      </c>
      <c r="D10" s="12"/>
      <c r="E10" s="12"/>
      <c r="F10" s="12"/>
      <c r="G10" s="12"/>
      <c r="H10" s="13"/>
      <c r="I10" s="14"/>
    </row>
    <row r="11" customFormat="false" ht="23.85" hidden="false" customHeight="false" outlineLevel="0" collapsed="false">
      <c r="A11" s="7" t="s">
        <v>76</v>
      </c>
      <c r="B11" s="7" t="s">
        <v>88</v>
      </c>
      <c r="C11" s="7" t="s">
        <v>78</v>
      </c>
      <c r="D11" s="12"/>
      <c r="E11" s="12"/>
      <c r="F11" s="12"/>
      <c r="G11" s="12"/>
      <c r="H11" s="13"/>
      <c r="I11" s="15"/>
    </row>
    <row r="12" customFormat="false" ht="23.85" hidden="false" customHeight="false" outlineLevel="0" collapsed="false">
      <c r="A12" s="9" t="s">
        <v>76</v>
      </c>
      <c r="B12" s="9" t="s">
        <v>89</v>
      </c>
      <c r="C12" s="9" t="s">
        <v>78</v>
      </c>
      <c r="D12" s="12"/>
      <c r="E12" s="12"/>
      <c r="F12" s="12"/>
      <c r="G12" s="12"/>
      <c r="H12" s="13"/>
      <c r="I12" s="14"/>
    </row>
    <row r="13" customFormat="false" ht="23.85" hidden="false" customHeight="false" outlineLevel="0" collapsed="false">
      <c r="A13" s="7" t="s">
        <v>90</v>
      </c>
      <c r="B13" s="7" t="s">
        <v>91</v>
      </c>
      <c r="C13" s="7" t="s">
        <v>78</v>
      </c>
      <c r="D13" s="12"/>
      <c r="E13" s="12"/>
      <c r="F13" s="12"/>
      <c r="G13" s="12"/>
      <c r="H13" s="13"/>
      <c r="I13" s="15"/>
    </row>
    <row r="14" customFormat="false" ht="23.85" hidden="false" customHeight="false" outlineLevel="0" collapsed="false">
      <c r="A14" s="9" t="s">
        <v>90</v>
      </c>
      <c r="B14" s="9" t="s">
        <v>92</v>
      </c>
      <c r="C14" s="9" t="s">
        <v>78</v>
      </c>
      <c r="D14" s="12"/>
      <c r="E14" s="12"/>
      <c r="F14" s="12"/>
      <c r="G14" s="12"/>
      <c r="H14" s="13"/>
      <c r="I14" s="14"/>
    </row>
    <row r="15" customFormat="false" ht="23.85" hidden="false" customHeight="false" outlineLevel="0" collapsed="false">
      <c r="A15" s="7" t="s">
        <v>90</v>
      </c>
      <c r="B15" s="7" t="s">
        <v>93</v>
      </c>
      <c r="C15" s="7" t="s">
        <v>78</v>
      </c>
      <c r="D15" s="12"/>
      <c r="E15" s="12"/>
      <c r="F15" s="12"/>
      <c r="G15" s="12"/>
      <c r="H15" s="13"/>
      <c r="I15" s="15"/>
    </row>
    <row r="16" customFormat="false" ht="23.85" hidden="false" customHeight="false" outlineLevel="0" collapsed="false">
      <c r="A16" s="9" t="s">
        <v>90</v>
      </c>
      <c r="B16" s="9" t="s">
        <v>94</v>
      </c>
      <c r="C16" s="9" t="s">
        <v>78</v>
      </c>
      <c r="D16" s="12"/>
      <c r="E16" s="12"/>
      <c r="F16" s="12"/>
      <c r="G16" s="12"/>
      <c r="H16" s="13"/>
      <c r="I16" s="14"/>
    </row>
    <row r="17" customFormat="false" ht="23.85" hidden="false" customHeight="false" outlineLevel="0" collapsed="false">
      <c r="A17" s="7" t="s">
        <v>90</v>
      </c>
      <c r="B17" s="7" t="s">
        <v>95</v>
      </c>
      <c r="C17" s="7" t="s">
        <v>78</v>
      </c>
      <c r="D17" s="12"/>
      <c r="E17" s="12"/>
      <c r="F17" s="12"/>
      <c r="G17" s="12"/>
      <c r="H17" s="13"/>
      <c r="I17" s="15"/>
    </row>
    <row r="18" customFormat="false" ht="23.85" hidden="false" customHeight="false" outlineLevel="0" collapsed="false">
      <c r="A18" s="9" t="s">
        <v>90</v>
      </c>
      <c r="B18" s="9" t="s">
        <v>96</v>
      </c>
      <c r="C18" s="9" t="s">
        <v>78</v>
      </c>
      <c r="D18" s="12"/>
      <c r="E18" s="12"/>
      <c r="F18" s="12"/>
      <c r="G18" s="12"/>
      <c r="H18" s="13"/>
      <c r="I18" s="14"/>
    </row>
    <row r="19" customFormat="false" ht="23.85" hidden="false" customHeight="false" outlineLevel="0" collapsed="false">
      <c r="A19" s="7" t="s">
        <v>90</v>
      </c>
      <c r="B19" s="7" t="s">
        <v>97</v>
      </c>
      <c r="C19" s="7" t="s">
        <v>78</v>
      </c>
      <c r="D19" s="12"/>
      <c r="E19" s="12"/>
      <c r="F19" s="12"/>
      <c r="G19" s="12"/>
      <c r="H19" s="13"/>
      <c r="I19" s="15"/>
    </row>
    <row r="20" customFormat="false" ht="15" hidden="false" customHeight="false" outlineLevel="0" collapsed="false">
      <c r="A20" s="9" t="s">
        <v>98</v>
      </c>
      <c r="B20" s="9" t="s">
        <v>99</v>
      </c>
      <c r="C20" s="9" t="s">
        <v>78</v>
      </c>
      <c r="D20" s="12"/>
      <c r="E20" s="12"/>
      <c r="F20" s="12"/>
      <c r="G20" s="12"/>
      <c r="H20" s="13"/>
      <c r="I20" s="14"/>
    </row>
    <row r="21" customFormat="false" ht="15" hidden="false" customHeight="false" outlineLevel="0" collapsed="false">
      <c r="A21" s="7" t="s">
        <v>98</v>
      </c>
      <c r="B21" s="7" t="s">
        <v>100</v>
      </c>
      <c r="C21" s="7" t="s">
        <v>78</v>
      </c>
      <c r="D21" s="12"/>
      <c r="E21" s="12"/>
      <c r="F21" s="12"/>
      <c r="G21" s="12"/>
      <c r="H21" s="13"/>
      <c r="I21" s="15"/>
    </row>
    <row r="22" customFormat="false" ht="15" hidden="false" customHeight="false" outlineLevel="0" collapsed="false">
      <c r="A22" s="9" t="s">
        <v>98</v>
      </c>
      <c r="B22" s="9" t="s">
        <v>101</v>
      </c>
      <c r="C22" s="9" t="s">
        <v>78</v>
      </c>
      <c r="D22" s="12"/>
      <c r="E22" s="12"/>
      <c r="F22" s="12"/>
      <c r="G22" s="12"/>
      <c r="H22" s="13"/>
      <c r="I22" s="14"/>
    </row>
    <row r="23" customFormat="false" ht="15" hidden="false" customHeight="false" outlineLevel="0" collapsed="false">
      <c r="A23" s="7" t="s">
        <v>98</v>
      </c>
      <c r="B23" s="7" t="s">
        <v>102</v>
      </c>
      <c r="C23" s="7" t="s">
        <v>78</v>
      </c>
      <c r="D23" s="12"/>
      <c r="E23" s="12"/>
      <c r="F23" s="12"/>
      <c r="G23" s="12"/>
      <c r="H23" s="13"/>
      <c r="I23" s="15"/>
    </row>
    <row r="24" customFormat="false" ht="15" hidden="false" customHeight="false" outlineLevel="0" collapsed="false">
      <c r="A24" s="9" t="s">
        <v>98</v>
      </c>
      <c r="B24" s="9" t="s">
        <v>103</v>
      </c>
      <c r="C24" s="9" t="s">
        <v>78</v>
      </c>
      <c r="D24" s="12"/>
      <c r="E24" s="12"/>
      <c r="F24" s="12"/>
      <c r="G24" s="12"/>
      <c r="H24" s="13"/>
      <c r="I24" s="14"/>
    </row>
    <row r="25" customFormat="false" ht="15" hidden="false" customHeight="false" outlineLevel="0" collapsed="false">
      <c r="A25" s="7" t="s">
        <v>98</v>
      </c>
      <c r="B25" s="7" t="s">
        <v>104</v>
      </c>
      <c r="C25" s="7" t="s">
        <v>78</v>
      </c>
      <c r="D25" s="12"/>
      <c r="E25" s="12"/>
      <c r="F25" s="12"/>
      <c r="G25" s="12"/>
      <c r="H25" s="13"/>
      <c r="I25" s="15"/>
    </row>
    <row r="26" customFormat="false" ht="15" hidden="false" customHeight="false" outlineLevel="0" collapsed="false">
      <c r="A26" s="9" t="s">
        <v>105</v>
      </c>
      <c r="B26" s="9" t="s">
        <v>106</v>
      </c>
      <c r="C26" s="9" t="s">
        <v>78</v>
      </c>
      <c r="D26" s="12"/>
      <c r="E26" s="12"/>
      <c r="F26" s="12"/>
      <c r="G26" s="12"/>
      <c r="H26" s="13"/>
      <c r="I26" s="14"/>
    </row>
    <row r="27" customFormat="false" ht="15" hidden="false" customHeight="false" outlineLevel="0" collapsed="false">
      <c r="A27" s="7" t="s">
        <v>105</v>
      </c>
      <c r="B27" s="7" t="s">
        <v>107</v>
      </c>
      <c r="C27" s="7" t="s">
        <v>78</v>
      </c>
      <c r="D27" s="12"/>
      <c r="E27" s="12"/>
      <c r="F27" s="12"/>
      <c r="G27" s="12"/>
      <c r="H27" s="13"/>
      <c r="I27" s="15"/>
    </row>
    <row r="28" customFormat="false" ht="15" hidden="false" customHeight="false" outlineLevel="0" collapsed="false">
      <c r="A28" s="9" t="s">
        <v>105</v>
      </c>
      <c r="B28" s="9" t="s">
        <v>108</v>
      </c>
      <c r="C28" s="9" t="s">
        <v>78</v>
      </c>
      <c r="D28" s="12"/>
      <c r="E28" s="12"/>
      <c r="F28" s="12"/>
      <c r="G28" s="12"/>
      <c r="H28" s="13"/>
      <c r="I28" s="14"/>
    </row>
    <row r="29" customFormat="false" ht="23.85" hidden="false" customHeight="false" outlineLevel="0" collapsed="false">
      <c r="A29" s="7" t="s">
        <v>105</v>
      </c>
      <c r="B29" s="7" t="s">
        <v>109</v>
      </c>
      <c r="C29" s="7" t="s">
        <v>78</v>
      </c>
      <c r="D29" s="12"/>
      <c r="E29" s="12"/>
      <c r="F29" s="12"/>
      <c r="G29" s="12"/>
      <c r="H29" s="13"/>
      <c r="I29" s="15"/>
    </row>
    <row r="30" customFormat="false" ht="15" hidden="false" customHeight="false" outlineLevel="0" collapsed="false">
      <c r="A30" s="9" t="s">
        <v>105</v>
      </c>
      <c r="B30" s="9" t="s">
        <v>110</v>
      </c>
      <c r="C30" s="9" t="s">
        <v>78</v>
      </c>
      <c r="D30" s="12"/>
      <c r="E30" s="12"/>
      <c r="F30" s="12"/>
      <c r="G30" s="12"/>
      <c r="H30" s="13"/>
      <c r="I30" s="14"/>
    </row>
    <row r="31" customFormat="false" ht="15" hidden="false" customHeight="false" outlineLevel="0" collapsed="false">
      <c r="A31" s="7" t="s">
        <v>111</v>
      </c>
      <c r="B31" s="7" t="s">
        <v>112</v>
      </c>
      <c r="C31" s="7" t="s">
        <v>113</v>
      </c>
      <c r="D31" s="12"/>
      <c r="E31" s="12"/>
      <c r="F31" s="12"/>
      <c r="G31" s="12"/>
      <c r="H31" s="13"/>
      <c r="I31" s="15"/>
    </row>
    <row r="32" customFormat="false" ht="23.85" hidden="false" customHeight="false" outlineLevel="0" collapsed="false">
      <c r="A32" s="9" t="s">
        <v>114</v>
      </c>
      <c r="B32" s="9" t="s">
        <v>115</v>
      </c>
      <c r="C32" s="9" t="s">
        <v>114</v>
      </c>
      <c r="D32" s="12"/>
      <c r="E32" s="12"/>
      <c r="F32" s="12"/>
      <c r="G32" s="12"/>
      <c r="H32" s="13"/>
      <c r="I32" s="14"/>
    </row>
    <row r="33" customFormat="false" ht="15" hidden="false" customHeight="false" outlineLevel="0" collapsed="false">
      <c r="A33" s="7" t="s">
        <v>116</v>
      </c>
      <c r="B33" s="7" t="s">
        <v>117</v>
      </c>
      <c r="C33" s="7" t="s">
        <v>118</v>
      </c>
      <c r="D33" s="12"/>
      <c r="E33" s="12"/>
      <c r="F33" s="12"/>
      <c r="G33" s="12"/>
      <c r="H33" s="13"/>
      <c r="I33" s="15"/>
    </row>
    <row r="34" customFormat="false" ht="15" hidden="false" customHeight="false" outlineLevel="0" collapsed="false">
      <c r="A34" s="9" t="s">
        <v>116</v>
      </c>
      <c r="B34" s="9" t="s">
        <v>119</v>
      </c>
      <c r="C34" s="9" t="s">
        <v>118</v>
      </c>
      <c r="D34" s="12"/>
      <c r="E34" s="12"/>
      <c r="F34" s="12"/>
      <c r="G34" s="12"/>
      <c r="H34" s="13"/>
      <c r="I34" s="14"/>
    </row>
    <row r="35" customFormat="false" ht="15" hidden="false" customHeight="false" outlineLevel="0" collapsed="false">
      <c r="A35" s="7" t="s">
        <v>116</v>
      </c>
      <c r="B35" s="7" t="s">
        <v>120</v>
      </c>
      <c r="C35" s="7" t="s">
        <v>118</v>
      </c>
      <c r="D35" s="12"/>
      <c r="E35" s="12"/>
      <c r="F35" s="12"/>
      <c r="G35" s="12"/>
      <c r="H35" s="13"/>
      <c r="I35" s="15"/>
    </row>
    <row r="36" customFormat="false" ht="15" hidden="false" customHeight="false" outlineLevel="0" collapsed="false">
      <c r="A36" s="9" t="s">
        <v>116</v>
      </c>
      <c r="B36" s="9" t="s">
        <v>121</v>
      </c>
      <c r="C36" s="9" t="s">
        <v>118</v>
      </c>
      <c r="D36" s="12"/>
      <c r="E36" s="12"/>
      <c r="F36" s="12"/>
      <c r="G36" s="12"/>
      <c r="H36" s="13"/>
      <c r="I36" s="14"/>
    </row>
    <row r="37" customFormat="false" ht="15" hidden="false" customHeight="false" outlineLevel="0" collapsed="false">
      <c r="A37" s="7" t="s">
        <v>116</v>
      </c>
      <c r="B37" s="7" t="s">
        <v>122</v>
      </c>
      <c r="C37" s="7" t="s">
        <v>118</v>
      </c>
      <c r="D37" s="12"/>
      <c r="E37" s="12"/>
      <c r="F37" s="12"/>
      <c r="G37" s="12"/>
      <c r="H37" s="13"/>
      <c r="I37" s="15"/>
    </row>
    <row r="38" customFormat="false" ht="15" hidden="false" customHeight="false" outlineLevel="0" collapsed="false">
      <c r="A38" s="9" t="s">
        <v>116</v>
      </c>
      <c r="B38" s="9" t="s">
        <v>95</v>
      </c>
      <c r="C38" s="9" t="s">
        <v>118</v>
      </c>
      <c r="D38" s="12"/>
      <c r="E38" s="12"/>
      <c r="F38" s="12"/>
      <c r="G38" s="12"/>
      <c r="H38" s="13"/>
      <c r="I38" s="14"/>
    </row>
    <row r="39" customFormat="false" ht="15" hidden="false" customHeight="false" outlineLevel="0" collapsed="false">
      <c r="A39" s="7" t="s">
        <v>116</v>
      </c>
      <c r="B39" s="7" t="s">
        <v>123</v>
      </c>
      <c r="C39" s="7" t="s">
        <v>118</v>
      </c>
      <c r="D39" s="12"/>
      <c r="E39" s="12"/>
      <c r="F39" s="12"/>
      <c r="G39" s="12"/>
      <c r="H39" s="13"/>
      <c r="I39" s="15"/>
    </row>
    <row r="40" customFormat="false" ht="15" hidden="false" customHeight="false" outlineLevel="0" collapsed="false">
      <c r="A40" s="9" t="s">
        <v>116</v>
      </c>
      <c r="B40" s="9" t="s">
        <v>124</v>
      </c>
      <c r="C40" s="9" t="s">
        <v>118</v>
      </c>
      <c r="D40" s="12"/>
      <c r="E40" s="12"/>
      <c r="F40" s="12"/>
      <c r="G40" s="12"/>
      <c r="H40" s="13"/>
      <c r="I40" s="14"/>
    </row>
    <row r="41" customFormat="false" ht="15" hidden="false" customHeight="false" outlineLevel="0" collapsed="false">
      <c r="A41" s="7" t="s">
        <v>125</v>
      </c>
      <c r="B41" s="7" t="s">
        <v>126</v>
      </c>
      <c r="C41" s="7" t="s">
        <v>127</v>
      </c>
      <c r="D41" s="12"/>
      <c r="E41" s="12"/>
      <c r="F41" s="12"/>
      <c r="G41" s="12"/>
      <c r="H41" s="13"/>
      <c r="I41" s="15"/>
    </row>
    <row r="42" customFormat="false" ht="15" hidden="false" customHeight="false" outlineLevel="0" collapsed="false">
      <c r="A42" s="9" t="s">
        <v>125</v>
      </c>
      <c r="B42" s="9" t="s">
        <v>128</v>
      </c>
      <c r="C42" s="9" t="s">
        <v>127</v>
      </c>
      <c r="D42" s="12"/>
      <c r="E42" s="12"/>
      <c r="F42" s="12"/>
      <c r="G42" s="12"/>
      <c r="H42" s="13"/>
      <c r="I42" s="14"/>
    </row>
    <row r="43" customFormat="false" ht="15" hidden="false" customHeight="false" outlineLevel="0" collapsed="false">
      <c r="A43" s="7" t="s">
        <v>125</v>
      </c>
      <c r="B43" s="7" t="s">
        <v>95</v>
      </c>
      <c r="C43" s="7" t="s">
        <v>127</v>
      </c>
      <c r="D43" s="12"/>
      <c r="E43" s="12"/>
      <c r="F43" s="12"/>
      <c r="G43" s="12"/>
      <c r="H43" s="13"/>
      <c r="I43" s="15"/>
    </row>
    <row r="44" customFormat="false" ht="15" hidden="false" customHeight="false" outlineLevel="0" collapsed="false">
      <c r="A44" s="9" t="s">
        <v>125</v>
      </c>
      <c r="B44" s="9" t="s">
        <v>106</v>
      </c>
      <c r="C44" s="9" t="s">
        <v>127</v>
      </c>
      <c r="D44" s="12"/>
      <c r="E44" s="12"/>
      <c r="F44" s="12"/>
      <c r="G44" s="12"/>
      <c r="H44" s="13"/>
      <c r="I44" s="14"/>
    </row>
    <row r="45" customFormat="false" ht="15" hidden="false" customHeight="false" outlineLevel="0" collapsed="false">
      <c r="A45" s="7" t="s">
        <v>125</v>
      </c>
      <c r="B45" s="7" t="s">
        <v>129</v>
      </c>
      <c r="C45" s="7" t="s">
        <v>127</v>
      </c>
      <c r="D45" s="12"/>
      <c r="E45" s="12"/>
      <c r="F45" s="12"/>
      <c r="G45" s="12"/>
      <c r="H45" s="13"/>
      <c r="I45" s="15"/>
    </row>
    <row r="46" customFormat="false" ht="15" hidden="false" customHeight="false" outlineLevel="0" collapsed="false">
      <c r="A46" s="9" t="s">
        <v>125</v>
      </c>
      <c r="B46" s="9" t="s">
        <v>107</v>
      </c>
      <c r="C46" s="9" t="s">
        <v>127</v>
      </c>
      <c r="D46" s="12"/>
      <c r="E46" s="12"/>
      <c r="F46" s="12"/>
      <c r="G46" s="12"/>
      <c r="H46" s="13"/>
      <c r="I46" s="14"/>
    </row>
    <row r="47" customFormat="false" ht="15" hidden="false" customHeight="false" outlineLevel="0" collapsed="false">
      <c r="A47" s="7" t="s">
        <v>125</v>
      </c>
      <c r="B47" s="7" t="s">
        <v>102</v>
      </c>
      <c r="C47" s="7" t="s">
        <v>127</v>
      </c>
      <c r="D47" s="12"/>
      <c r="E47" s="12"/>
      <c r="F47" s="12"/>
      <c r="G47" s="12"/>
      <c r="H47" s="13"/>
      <c r="I47" s="15"/>
    </row>
    <row r="48" customFormat="false" ht="15" hidden="false" customHeight="false" outlineLevel="0" collapsed="false">
      <c r="A48" s="9" t="s">
        <v>125</v>
      </c>
      <c r="B48" s="9" t="s">
        <v>130</v>
      </c>
      <c r="C48" s="9" t="s">
        <v>127</v>
      </c>
      <c r="D48" s="12"/>
      <c r="E48" s="12"/>
      <c r="F48" s="12"/>
      <c r="G48" s="12"/>
      <c r="H48" s="13"/>
      <c r="I48" s="14"/>
    </row>
    <row r="49" customFormat="false" ht="15" hidden="false" customHeight="false" outlineLevel="0" collapsed="false">
      <c r="A49" s="7" t="s">
        <v>125</v>
      </c>
      <c r="B49" s="7" t="s">
        <v>131</v>
      </c>
      <c r="C49" s="7" t="s">
        <v>127</v>
      </c>
      <c r="D49" s="12"/>
      <c r="E49" s="12"/>
      <c r="F49" s="12"/>
      <c r="G49" s="12"/>
      <c r="H49" s="13"/>
      <c r="I49" s="15"/>
    </row>
    <row r="50" customFormat="false" ht="15" hidden="false" customHeight="false" outlineLevel="0" collapsed="false">
      <c r="A50" s="9" t="s">
        <v>125</v>
      </c>
      <c r="B50" s="9" t="s">
        <v>132</v>
      </c>
      <c r="C50" s="9" t="s">
        <v>127</v>
      </c>
      <c r="D50" s="12"/>
      <c r="E50" s="12"/>
      <c r="F50" s="12"/>
      <c r="G50" s="12"/>
      <c r="H50" s="13"/>
      <c r="I50" s="14"/>
    </row>
  </sheetData>
  <mergeCells count="2">
    <mergeCell ref="A1:I1"/>
    <mergeCell ref="A2:I2"/>
  </mergeCells>
  <conditionalFormatting sqref="I5:I50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2">
    <dataValidation allowBlank="true" errorStyle="stop" operator="between" showDropDown="false" showErrorMessage="false" showInputMessage="false" sqref="H5:H50" type="list">
      <formula1>"rus,kyr,eng"</formula1>
      <formula2>0</formula2>
    </dataValidation>
    <dataValidation allowBlank="true" errorStyle="stop" operator="between" showDropDown="false" showErrorMessage="false" showInputMessage="false" sqref="I5:I50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4" t="s">
        <v>133</v>
      </c>
      <c r="B1" s="4"/>
      <c r="C1" s="4"/>
      <c r="D1" s="4"/>
      <c r="E1" s="4"/>
    </row>
    <row r="2" customFormat="false" ht="30" hidden="false" customHeight="true" outlineLevel="0" collapsed="false">
      <c r="A2" s="5" t="s">
        <v>134</v>
      </c>
      <c r="B2" s="5"/>
      <c r="C2" s="5"/>
      <c r="D2" s="5"/>
      <c r="E2" s="5"/>
    </row>
    <row r="4" customFormat="false" ht="33.75" hidden="false" customHeight="true" outlineLevel="0" collapsed="false">
      <c r="A4" s="6" t="s">
        <v>68</v>
      </c>
      <c r="B4" s="6" t="s">
        <v>69</v>
      </c>
      <c r="C4" s="6" t="s">
        <v>135</v>
      </c>
      <c r="D4" s="6" t="s">
        <v>136</v>
      </c>
      <c r="E4" s="6" t="s">
        <v>75</v>
      </c>
    </row>
    <row r="5" customFormat="false" ht="23.85" hidden="false" customHeight="false" outlineLevel="0" collapsed="false">
      <c r="A5" s="7" t="s">
        <v>76</v>
      </c>
      <c r="B5" s="7" t="s">
        <v>77</v>
      </c>
      <c r="C5" s="12"/>
      <c r="D5" s="12"/>
      <c r="E5" s="15"/>
    </row>
    <row r="6" customFormat="false" ht="23.85" hidden="false" customHeight="false" outlineLevel="0" collapsed="false">
      <c r="A6" s="9" t="s">
        <v>76</v>
      </c>
      <c r="B6" s="9" t="s">
        <v>84</v>
      </c>
      <c r="C6" s="12"/>
      <c r="D6" s="12"/>
      <c r="E6" s="14"/>
    </row>
    <row r="7" customFormat="false" ht="23.85" hidden="false" customHeight="false" outlineLevel="0" collapsed="false">
      <c r="A7" s="7" t="s">
        <v>76</v>
      </c>
      <c r="B7" s="7" t="s">
        <v>85</v>
      </c>
      <c r="C7" s="12"/>
      <c r="D7" s="12"/>
      <c r="E7" s="15"/>
    </row>
    <row r="8" customFormat="false" ht="23.85" hidden="false" customHeight="false" outlineLevel="0" collapsed="false">
      <c r="A8" s="9" t="s">
        <v>76</v>
      </c>
      <c r="B8" s="9" t="s">
        <v>86</v>
      </c>
      <c r="C8" s="12"/>
      <c r="D8" s="12"/>
      <c r="E8" s="14"/>
    </row>
    <row r="9" customFormat="false" ht="23.85" hidden="false" customHeight="false" outlineLevel="0" collapsed="false">
      <c r="A9" s="7" t="s">
        <v>76</v>
      </c>
      <c r="B9" s="7" t="s">
        <v>87</v>
      </c>
      <c r="C9" s="12"/>
      <c r="D9" s="12"/>
      <c r="E9" s="15"/>
    </row>
    <row r="10" customFormat="false" ht="23.85" hidden="false" customHeight="false" outlineLevel="0" collapsed="false">
      <c r="A10" s="9" t="s">
        <v>76</v>
      </c>
      <c r="B10" s="9" t="s">
        <v>88</v>
      </c>
      <c r="C10" s="12"/>
      <c r="D10" s="12"/>
      <c r="E10" s="14"/>
    </row>
    <row r="11" customFormat="false" ht="23.85" hidden="false" customHeight="false" outlineLevel="0" collapsed="false">
      <c r="A11" s="7" t="s">
        <v>76</v>
      </c>
      <c r="B11" s="7" t="s">
        <v>89</v>
      </c>
      <c r="C11" s="12"/>
      <c r="D11" s="12"/>
      <c r="E11" s="15"/>
    </row>
    <row r="12" customFormat="false" ht="15" hidden="false" customHeight="false" outlineLevel="0" collapsed="false">
      <c r="A12" s="9" t="s">
        <v>90</v>
      </c>
      <c r="B12" s="9" t="s">
        <v>91</v>
      </c>
      <c r="C12" s="12"/>
      <c r="D12" s="12"/>
      <c r="E12" s="14"/>
    </row>
    <row r="13" customFormat="false" ht="15" hidden="false" customHeight="false" outlineLevel="0" collapsed="false">
      <c r="A13" s="7" t="s">
        <v>90</v>
      </c>
      <c r="B13" s="7" t="s">
        <v>92</v>
      </c>
      <c r="C13" s="12"/>
      <c r="D13" s="12"/>
      <c r="E13" s="15"/>
    </row>
    <row r="14" customFormat="false" ht="23.85" hidden="false" customHeight="false" outlineLevel="0" collapsed="false">
      <c r="A14" s="9" t="s">
        <v>90</v>
      </c>
      <c r="B14" s="9" t="s">
        <v>93</v>
      </c>
      <c r="C14" s="12"/>
      <c r="D14" s="12"/>
      <c r="E14" s="14"/>
    </row>
    <row r="15" customFormat="false" ht="15" hidden="false" customHeight="false" outlineLevel="0" collapsed="false">
      <c r="A15" s="7" t="s">
        <v>90</v>
      </c>
      <c r="B15" s="7" t="s">
        <v>94</v>
      </c>
      <c r="C15" s="12"/>
      <c r="D15" s="12"/>
      <c r="E15" s="15"/>
    </row>
    <row r="16" customFormat="false" ht="15" hidden="false" customHeight="false" outlineLevel="0" collapsed="false">
      <c r="A16" s="9" t="s">
        <v>90</v>
      </c>
      <c r="B16" s="9" t="s">
        <v>95</v>
      </c>
      <c r="C16" s="12"/>
      <c r="D16" s="12"/>
      <c r="E16" s="14"/>
    </row>
    <row r="17" customFormat="false" ht="23.85" hidden="false" customHeight="false" outlineLevel="0" collapsed="false">
      <c r="A17" s="7" t="s">
        <v>90</v>
      </c>
      <c r="B17" s="7" t="s">
        <v>96</v>
      </c>
      <c r="C17" s="12"/>
      <c r="D17" s="12"/>
      <c r="E17" s="15"/>
    </row>
    <row r="18" customFormat="false" ht="15" hidden="false" customHeight="false" outlineLevel="0" collapsed="false">
      <c r="A18" s="9" t="s">
        <v>90</v>
      </c>
      <c r="B18" s="9" t="s">
        <v>97</v>
      </c>
      <c r="C18" s="12"/>
      <c r="D18" s="12"/>
      <c r="E18" s="14"/>
    </row>
    <row r="19" customFormat="false" ht="15" hidden="false" customHeight="false" outlineLevel="0" collapsed="false">
      <c r="A19" s="7" t="s">
        <v>98</v>
      </c>
      <c r="B19" s="7" t="s">
        <v>99</v>
      </c>
      <c r="C19" s="12"/>
      <c r="D19" s="12"/>
      <c r="E19" s="15"/>
    </row>
    <row r="20" customFormat="false" ht="15" hidden="false" customHeight="false" outlineLevel="0" collapsed="false">
      <c r="A20" s="9" t="s">
        <v>98</v>
      </c>
      <c r="B20" s="9" t="s">
        <v>100</v>
      </c>
      <c r="C20" s="12"/>
      <c r="D20" s="12"/>
      <c r="E20" s="14"/>
    </row>
    <row r="21" customFormat="false" ht="15" hidden="false" customHeight="false" outlineLevel="0" collapsed="false">
      <c r="A21" s="7" t="s">
        <v>98</v>
      </c>
      <c r="B21" s="7" t="s">
        <v>101</v>
      </c>
      <c r="C21" s="12"/>
      <c r="D21" s="12"/>
      <c r="E21" s="15"/>
    </row>
    <row r="22" customFormat="false" ht="15" hidden="false" customHeight="false" outlineLevel="0" collapsed="false">
      <c r="A22" s="9" t="s">
        <v>98</v>
      </c>
      <c r="B22" s="9" t="s">
        <v>102</v>
      </c>
      <c r="C22" s="12"/>
      <c r="D22" s="12"/>
      <c r="E22" s="14"/>
    </row>
    <row r="23" customFormat="false" ht="15" hidden="false" customHeight="false" outlineLevel="0" collapsed="false">
      <c r="A23" s="7" t="s">
        <v>98</v>
      </c>
      <c r="B23" s="7" t="s">
        <v>103</v>
      </c>
      <c r="C23" s="12"/>
      <c r="D23" s="12"/>
      <c r="E23" s="15"/>
    </row>
    <row r="24" customFormat="false" ht="15" hidden="false" customHeight="false" outlineLevel="0" collapsed="false">
      <c r="A24" s="9" t="s">
        <v>98</v>
      </c>
      <c r="B24" s="9" t="s">
        <v>104</v>
      </c>
      <c r="C24" s="12"/>
      <c r="D24" s="12"/>
      <c r="E24" s="14"/>
    </row>
    <row r="25" customFormat="false" ht="15" hidden="false" customHeight="false" outlineLevel="0" collapsed="false">
      <c r="A25" s="7" t="s">
        <v>105</v>
      </c>
      <c r="B25" s="7" t="s">
        <v>106</v>
      </c>
      <c r="C25" s="12"/>
      <c r="D25" s="12"/>
      <c r="E25" s="15"/>
    </row>
    <row r="26" customFormat="false" ht="15" hidden="false" customHeight="false" outlineLevel="0" collapsed="false">
      <c r="A26" s="9" t="s">
        <v>105</v>
      </c>
      <c r="B26" s="9" t="s">
        <v>107</v>
      </c>
      <c r="C26" s="12"/>
      <c r="D26" s="12"/>
      <c r="E26" s="14"/>
    </row>
    <row r="27" customFormat="false" ht="15" hidden="false" customHeight="false" outlineLevel="0" collapsed="false">
      <c r="A27" s="7" t="s">
        <v>105</v>
      </c>
      <c r="B27" s="7" t="s">
        <v>108</v>
      </c>
      <c r="C27" s="12"/>
      <c r="D27" s="12"/>
      <c r="E27" s="15"/>
    </row>
    <row r="28" customFormat="false" ht="15" hidden="false" customHeight="false" outlineLevel="0" collapsed="false">
      <c r="A28" s="9" t="s">
        <v>105</v>
      </c>
      <c r="B28" s="9" t="s">
        <v>109</v>
      </c>
      <c r="C28" s="12"/>
      <c r="D28" s="12"/>
      <c r="E28" s="14"/>
    </row>
    <row r="29" customFormat="false" ht="15" hidden="false" customHeight="false" outlineLevel="0" collapsed="false">
      <c r="A29" s="7" t="s">
        <v>105</v>
      </c>
      <c r="B29" s="7" t="s">
        <v>110</v>
      </c>
      <c r="C29" s="12"/>
      <c r="D29" s="12"/>
      <c r="E29" s="15"/>
    </row>
    <row r="30" customFormat="false" ht="15" hidden="false" customHeight="false" outlineLevel="0" collapsed="false">
      <c r="A30" s="9" t="s">
        <v>111</v>
      </c>
      <c r="B30" s="9" t="s">
        <v>112</v>
      </c>
      <c r="C30" s="12"/>
      <c r="D30" s="12"/>
      <c r="E30" s="14"/>
    </row>
  </sheetData>
  <mergeCells count="2">
    <mergeCell ref="A1:E1"/>
    <mergeCell ref="A2:E2"/>
  </mergeCells>
  <conditionalFormatting sqref="E5:E30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E5:E30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4" t="s">
        <v>137</v>
      </c>
      <c r="B1" s="4"/>
      <c r="C1" s="4"/>
      <c r="D1" s="4"/>
      <c r="E1" s="4"/>
    </row>
    <row r="2" customFormat="false" ht="30" hidden="false" customHeight="true" outlineLevel="0" collapsed="false">
      <c r="A2" s="5" t="s">
        <v>138</v>
      </c>
      <c r="B2" s="5"/>
      <c r="C2" s="5"/>
      <c r="D2" s="5"/>
      <c r="E2" s="5"/>
    </row>
    <row r="4" customFormat="false" ht="15" hidden="false" customHeight="false" outlineLevel="0" collapsed="false">
      <c r="A4" s="16" t="s">
        <v>139</v>
      </c>
    </row>
    <row r="5" customFormat="false" ht="33.75" hidden="false" customHeight="true" outlineLevel="0" collapsed="false">
      <c r="A5" s="6" t="s">
        <v>140</v>
      </c>
      <c r="B5" s="6" t="s">
        <v>141</v>
      </c>
      <c r="C5" s="6"/>
      <c r="D5" s="6" t="s">
        <v>22</v>
      </c>
      <c r="E5" s="6" t="s">
        <v>75</v>
      </c>
    </row>
    <row r="6" customFormat="false" ht="15" hidden="false" customHeight="false" outlineLevel="0" collapsed="false">
      <c r="A6" s="7" t="s">
        <v>142</v>
      </c>
      <c r="B6" s="12"/>
      <c r="C6" s="7"/>
      <c r="D6" s="13"/>
      <c r="E6" s="15"/>
    </row>
    <row r="7" customFormat="false" ht="23.85" hidden="false" customHeight="false" outlineLevel="0" collapsed="false">
      <c r="A7" s="7" t="s">
        <v>143</v>
      </c>
      <c r="B7" s="12"/>
      <c r="C7" s="7"/>
      <c r="D7" s="13"/>
      <c r="E7" s="15"/>
    </row>
    <row r="8" customFormat="false" ht="23.85" hidden="false" customHeight="false" outlineLevel="0" collapsed="false">
      <c r="A8" s="7" t="s">
        <v>144</v>
      </c>
      <c r="B8" s="12"/>
      <c r="C8" s="7"/>
      <c r="D8" s="13"/>
      <c r="E8" s="15"/>
    </row>
    <row r="9" customFormat="false" ht="23.85" hidden="false" customHeight="false" outlineLevel="0" collapsed="false">
      <c r="A9" s="7" t="s">
        <v>145</v>
      </c>
      <c r="B9" s="12"/>
      <c r="C9" s="7"/>
      <c r="D9" s="13"/>
      <c r="E9" s="15"/>
    </row>
    <row r="11" customFormat="false" ht="15" hidden="false" customHeight="false" outlineLevel="0" collapsed="false">
      <c r="A11" s="16" t="s">
        <v>146</v>
      </c>
    </row>
    <row r="12" customFormat="false" ht="33.75" hidden="false" customHeight="true" outlineLevel="0" collapsed="false">
      <c r="A12" s="6" t="s">
        <v>147</v>
      </c>
      <c r="B12" s="6" t="s">
        <v>148</v>
      </c>
      <c r="C12" s="6" t="s">
        <v>149</v>
      </c>
      <c r="D12" s="6" t="s">
        <v>22</v>
      </c>
      <c r="E12" s="6" t="s">
        <v>75</v>
      </c>
    </row>
    <row r="13" customFormat="false" ht="15" hidden="false" customHeight="false" outlineLevel="0" collapsed="false">
      <c r="A13" s="11" t="s">
        <v>76</v>
      </c>
      <c r="B13" s="11" t="s">
        <v>150</v>
      </c>
      <c r="C13" s="11" t="s">
        <v>151</v>
      </c>
      <c r="D13" s="11" t="s">
        <v>152</v>
      </c>
      <c r="E13" s="11" t="s">
        <v>83</v>
      </c>
    </row>
    <row r="14" customFormat="false" ht="15" hidden="false" customHeight="false" outlineLevel="0" collapsed="false">
      <c r="A14" s="12"/>
      <c r="B14" s="12"/>
      <c r="C14" s="12"/>
      <c r="D14" s="13"/>
      <c r="E14" s="14"/>
    </row>
    <row r="15" customFormat="false" ht="15" hidden="false" customHeight="false" outlineLevel="0" collapsed="false">
      <c r="A15" s="12"/>
      <c r="B15" s="12"/>
      <c r="C15" s="12"/>
      <c r="D15" s="13"/>
      <c r="E15" s="15"/>
    </row>
    <row r="16" customFormat="false" ht="15" hidden="false" customHeight="false" outlineLevel="0" collapsed="false">
      <c r="A16" s="12"/>
      <c r="B16" s="12"/>
      <c r="C16" s="12"/>
      <c r="D16" s="13"/>
      <c r="E16" s="14"/>
    </row>
    <row r="17" customFormat="false" ht="15" hidden="false" customHeight="false" outlineLevel="0" collapsed="false">
      <c r="A17" s="12"/>
      <c r="B17" s="12"/>
      <c r="C17" s="12"/>
      <c r="D17" s="13"/>
      <c r="E17" s="15"/>
    </row>
    <row r="18" customFormat="false" ht="15" hidden="false" customHeight="false" outlineLevel="0" collapsed="false">
      <c r="A18" s="12"/>
      <c r="B18" s="12"/>
      <c r="C18" s="12"/>
      <c r="D18" s="13"/>
      <c r="E18" s="14"/>
    </row>
    <row r="19" customFormat="false" ht="15" hidden="false" customHeight="false" outlineLevel="0" collapsed="false">
      <c r="A19" s="12"/>
      <c r="B19" s="12"/>
      <c r="C19" s="12"/>
      <c r="D19" s="13"/>
      <c r="E19" s="15"/>
    </row>
    <row r="20" customFormat="false" ht="15" hidden="false" customHeight="false" outlineLevel="0" collapsed="false">
      <c r="A20" s="12"/>
      <c r="B20" s="12"/>
      <c r="C20" s="12"/>
      <c r="D20" s="13"/>
      <c r="E20" s="14"/>
    </row>
    <row r="21" customFormat="false" ht="15" hidden="false" customHeight="false" outlineLevel="0" collapsed="false">
      <c r="A21" s="12"/>
      <c r="B21" s="12"/>
      <c r="C21" s="12"/>
      <c r="D21" s="13"/>
      <c r="E21" s="15"/>
    </row>
    <row r="22" customFormat="false" ht="15" hidden="false" customHeight="false" outlineLevel="0" collapsed="false">
      <c r="A22" s="12"/>
      <c r="B22" s="12"/>
      <c r="C22" s="12"/>
      <c r="D22" s="13"/>
      <c r="E22" s="14"/>
    </row>
    <row r="23" customFormat="false" ht="15" hidden="false" customHeight="false" outlineLevel="0" collapsed="false">
      <c r="A23" s="12"/>
      <c r="B23" s="12"/>
      <c r="C23" s="12"/>
      <c r="D23" s="13"/>
      <c r="E23" s="15"/>
    </row>
    <row r="24" customFormat="false" ht="15" hidden="false" customHeight="false" outlineLevel="0" collapsed="false">
      <c r="A24" s="12"/>
      <c r="B24" s="12"/>
      <c r="C24" s="12"/>
      <c r="D24" s="13"/>
      <c r="E24" s="14"/>
    </row>
    <row r="25" customFormat="false" ht="15" hidden="false" customHeight="false" outlineLevel="0" collapsed="false">
      <c r="A25" s="12"/>
      <c r="B25" s="12"/>
      <c r="C25" s="12"/>
      <c r="D25" s="13"/>
      <c r="E25" s="15"/>
    </row>
  </sheetData>
  <mergeCells count="2">
    <mergeCell ref="A1:E1"/>
    <mergeCell ref="A2:E2"/>
  </mergeCells>
  <conditionalFormatting sqref="E6:E9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conditionalFormatting sqref="E13:E25">
    <cfRule type="cellIs" priority="5" operator="equal" aboveAverage="0" equalAverage="0" bottom="0" percent="0" rank="0" text="" dxfId="0">
      <formula>"Готово"</formula>
    </cfRule>
    <cfRule type="cellIs" priority="6" operator="equal" aboveAverage="0" equalAverage="0" bottom="0" percent="0" rank="0" text="" dxfId="1">
      <formula>"В работе"</formula>
    </cfRule>
    <cfRule type="cellIs" priority="7" operator="equal" aboveAverage="0" equalAverage="0" bottom="0" percent="0" rank="0" text="" dxfId="2">
      <formula>"Нет данных"</formula>
    </cfRule>
  </conditionalFormatting>
  <dataValidations count="4">
    <dataValidation allowBlank="true" errorStyle="stop" operator="between" showDropDown="false" showErrorMessage="false" showInputMessage="false" sqref="E6:E9" type="list">
      <formula1>"Готово,В работе,Нет данных"</formula1>
      <formula2>0</formula2>
    </dataValidation>
    <dataValidation allowBlank="true" errorStyle="stop" operator="between" showDropDown="false" showErrorMessage="false" showInputMessage="false" sqref="D6:D9" type="list">
      <formula1>"rus,kyr,eng"</formula1>
      <formula2>0</formula2>
    </dataValidation>
    <dataValidation allowBlank="true" errorStyle="stop" operator="between" showDropDown="false" showErrorMessage="false" showInputMessage="false" sqref="D13:D25" type="list">
      <formula1>"rus,kyr,eng"</formula1>
      <formula2>0</formula2>
    </dataValidation>
    <dataValidation allowBlank="true" errorStyle="stop" operator="between" showDropDown="false" showErrorMessage="false" showInputMessage="false" sqref="E13:E25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4" t="s">
        <v>153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154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16" t="s">
        <v>155</v>
      </c>
    </row>
    <row r="5" customFormat="false" ht="33.75" hidden="false" customHeight="true" outlineLevel="0" collapsed="false">
      <c r="A5" s="17" t="s">
        <v>156</v>
      </c>
      <c r="B5" s="17" t="s">
        <v>157</v>
      </c>
      <c r="C5" s="17" t="s">
        <v>158</v>
      </c>
      <c r="D5" s="17" t="s">
        <v>159</v>
      </c>
      <c r="E5" s="17" t="s">
        <v>160</v>
      </c>
      <c r="F5" s="17"/>
      <c r="G5" s="6" t="s">
        <v>83</v>
      </c>
    </row>
    <row r="6" customFormat="false" ht="23.85" hidden="false" customHeight="false" outlineLevel="0" collapsed="false">
      <c r="A6" s="11" t="s">
        <v>161</v>
      </c>
      <c r="B6" s="11" t="s">
        <v>162</v>
      </c>
      <c r="C6" s="11" t="s">
        <v>163</v>
      </c>
      <c r="D6" s="11" t="s">
        <v>164</v>
      </c>
      <c r="E6" s="11" t="s">
        <v>165</v>
      </c>
      <c r="F6" s="11"/>
      <c r="G6" s="7" t="s">
        <v>83</v>
      </c>
    </row>
    <row r="7" customFormat="false" ht="15" hidden="false" customHeight="false" outlineLevel="0" collapsed="false">
      <c r="A7" s="11" t="s">
        <v>166</v>
      </c>
      <c r="B7" s="11" t="s">
        <v>162</v>
      </c>
      <c r="C7" s="11" t="s">
        <v>167</v>
      </c>
      <c r="D7" s="11" t="s">
        <v>159</v>
      </c>
      <c r="E7" s="11" t="s">
        <v>168</v>
      </c>
      <c r="F7" s="11"/>
      <c r="G7" s="7" t="s">
        <v>83</v>
      </c>
    </row>
    <row r="8" customFormat="false" ht="15" hidden="false" customHeight="false" outlineLevel="0" collapsed="false">
      <c r="A8" s="11" t="s">
        <v>169</v>
      </c>
      <c r="B8" s="11" t="s">
        <v>170</v>
      </c>
      <c r="C8" s="11" t="s">
        <v>171</v>
      </c>
      <c r="D8" s="11" t="s">
        <v>159</v>
      </c>
      <c r="E8" s="11" t="s">
        <v>172</v>
      </c>
      <c r="F8" s="11"/>
      <c r="G8" s="7" t="s">
        <v>83</v>
      </c>
    </row>
    <row r="9" customFormat="false" ht="15" hidden="false" customHeight="false" outlineLevel="0" collapsed="false">
      <c r="A9" s="11" t="s">
        <v>173</v>
      </c>
      <c r="B9" s="11" t="s">
        <v>174</v>
      </c>
      <c r="C9" s="11" t="s">
        <v>175</v>
      </c>
      <c r="D9" s="11" t="s">
        <v>176</v>
      </c>
      <c r="E9" s="11" t="s">
        <v>168</v>
      </c>
      <c r="F9" s="11"/>
      <c r="G9" s="7" t="s">
        <v>83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23.85" hidden="false" customHeight="false" outlineLevel="0" collapsed="false">
      <c r="A12" s="18" t="s">
        <v>177</v>
      </c>
      <c r="B12" s="7"/>
      <c r="C12" s="7"/>
      <c r="D12" s="7"/>
      <c r="E12" s="7"/>
      <c r="F12" s="7"/>
      <c r="G12" s="7"/>
    </row>
    <row r="13" customFormat="false" ht="33.75" hidden="false" customHeight="true" outlineLevel="0" collapsed="false">
      <c r="A13" s="19" t="s">
        <v>178</v>
      </c>
      <c r="B13" s="19" t="s">
        <v>179</v>
      </c>
      <c r="C13" s="19" t="s">
        <v>180</v>
      </c>
      <c r="D13" s="19" t="s">
        <v>181</v>
      </c>
      <c r="E13" s="19" t="s">
        <v>182</v>
      </c>
      <c r="F13" s="19" t="s">
        <v>183</v>
      </c>
      <c r="G13" s="19" t="s">
        <v>75</v>
      </c>
    </row>
    <row r="14" customFormat="false" ht="23.85" hidden="false" customHeight="false" outlineLevel="0" collapsed="false">
      <c r="A14" s="11" t="s">
        <v>184</v>
      </c>
      <c r="B14" s="11" t="s">
        <v>185</v>
      </c>
      <c r="C14" s="11" t="s">
        <v>186</v>
      </c>
      <c r="D14" s="11" t="s">
        <v>187</v>
      </c>
      <c r="E14" s="11" t="s">
        <v>188</v>
      </c>
      <c r="F14" s="11"/>
      <c r="G14" s="11" t="s">
        <v>83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7"/>
      <c r="G15" s="15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7"/>
      <c r="G16" s="15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7"/>
      <c r="G17" s="15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7"/>
      <c r="G18" s="15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7"/>
      <c r="G19" s="15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7"/>
      <c r="G20" s="15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7"/>
      <c r="G21" s="15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7"/>
      <c r="G22" s="15"/>
    </row>
  </sheetData>
  <mergeCells count="2">
    <mergeCell ref="A1:G1"/>
    <mergeCell ref="A2:G2"/>
  </mergeCells>
  <conditionalFormatting sqref="G5:G10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conditionalFormatting sqref="G14:G22">
    <cfRule type="cellIs" priority="5" operator="equal" aboveAverage="0" equalAverage="0" bottom="0" percent="0" rank="0" text="" dxfId="0">
      <formula>"Готово"</formula>
    </cfRule>
    <cfRule type="cellIs" priority="6" operator="equal" aboveAverage="0" equalAverage="0" bottom="0" percent="0" rank="0" text="" dxfId="1">
      <formula>"В работе"</formula>
    </cfRule>
    <cfRule type="cellIs" priority="7" operator="equal" aboveAverage="0" equalAverage="0" bottom="0" percent="0" rank="0" text="" dxfId="2">
      <formula>"Нет данных"</formula>
    </cfRule>
  </conditionalFormatting>
  <dataValidations count="2">
    <dataValidation allowBlank="true" errorStyle="stop" operator="between" showDropDown="false" showErrorMessage="false" showInputMessage="false" sqref="G5:G10" type="list">
      <formula1>"Готово,В работе,Нет данных"</formula1>
      <formula2>0</formula2>
    </dataValidation>
    <dataValidation allowBlank="true" errorStyle="stop" operator="between" showDropDown="false" showErrorMessage="false" showInputMessage="false" sqref="G14:G22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4" t="s">
        <v>189</v>
      </c>
      <c r="B1" s="4"/>
      <c r="C1" s="4"/>
      <c r="D1" s="4"/>
      <c r="E1" s="4"/>
    </row>
    <row r="2" customFormat="false" ht="30" hidden="false" customHeight="true" outlineLevel="0" collapsed="false">
      <c r="A2" s="5" t="s">
        <v>190</v>
      </c>
      <c r="B2" s="5"/>
      <c r="C2" s="5"/>
      <c r="D2" s="5"/>
      <c r="E2" s="5"/>
    </row>
    <row r="4" customFormat="false" ht="33.75" hidden="false" customHeight="true" outlineLevel="0" collapsed="false">
      <c r="A4" s="6" t="s">
        <v>31</v>
      </c>
      <c r="B4" s="6" t="s">
        <v>140</v>
      </c>
      <c r="C4" s="6" t="s">
        <v>141</v>
      </c>
      <c r="D4" s="6" t="s">
        <v>191</v>
      </c>
      <c r="E4" s="6" t="s">
        <v>75</v>
      </c>
    </row>
    <row r="5" customFormat="false" ht="15" hidden="false" customHeight="false" outlineLevel="0" collapsed="false">
      <c r="A5" s="7" t="s">
        <v>192</v>
      </c>
      <c r="B5" s="7" t="s">
        <v>193</v>
      </c>
      <c r="C5" s="12"/>
      <c r="D5" s="13"/>
      <c r="E5" s="15"/>
    </row>
    <row r="6" customFormat="false" ht="23.85" hidden="false" customHeight="false" outlineLevel="0" collapsed="false">
      <c r="A6" s="9" t="s">
        <v>194</v>
      </c>
      <c r="B6" s="9" t="s">
        <v>195</v>
      </c>
      <c r="C6" s="12"/>
      <c r="D6" s="13"/>
      <c r="E6" s="14"/>
    </row>
    <row r="7" customFormat="false" ht="15" hidden="false" customHeight="false" outlineLevel="0" collapsed="false">
      <c r="A7" s="7" t="s">
        <v>196</v>
      </c>
      <c r="B7" s="7" t="s">
        <v>197</v>
      </c>
      <c r="C7" s="12"/>
      <c r="D7" s="13"/>
      <c r="E7" s="15"/>
    </row>
    <row r="8" customFormat="false" ht="23.85" hidden="false" customHeight="false" outlineLevel="0" collapsed="false">
      <c r="A8" s="9" t="s">
        <v>198</v>
      </c>
      <c r="B8" s="9" t="s">
        <v>199</v>
      </c>
      <c r="C8" s="12"/>
      <c r="D8" s="13"/>
      <c r="E8" s="14"/>
    </row>
    <row r="9" customFormat="false" ht="23.85" hidden="false" customHeight="false" outlineLevel="0" collapsed="false">
      <c r="A9" s="7" t="s">
        <v>200</v>
      </c>
      <c r="B9" s="7" t="s">
        <v>201</v>
      </c>
      <c r="C9" s="12"/>
      <c r="D9" s="13"/>
      <c r="E9" s="15"/>
    </row>
    <row r="10" customFormat="false" ht="23.85" hidden="false" customHeight="false" outlineLevel="0" collapsed="false">
      <c r="A10" s="9" t="s">
        <v>202</v>
      </c>
      <c r="B10" s="9" t="s">
        <v>203</v>
      </c>
      <c r="C10" s="12"/>
      <c r="D10" s="13"/>
      <c r="E10" s="14"/>
    </row>
    <row r="11" customFormat="false" ht="23.85" hidden="false" customHeight="false" outlineLevel="0" collapsed="false">
      <c r="A11" s="7" t="s">
        <v>204</v>
      </c>
      <c r="B11" s="7" t="s">
        <v>205</v>
      </c>
      <c r="C11" s="12"/>
      <c r="D11" s="13"/>
      <c r="E11" s="15"/>
    </row>
    <row r="12" customFormat="false" ht="15" hidden="false" customHeight="false" outlineLevel="0" collapsed="false">
      <c r="A12" s="9" t="s">
        <v>206</v>
      </c>
      <c r="B12" s="9" t="s">
        <v>207</v>
      </c>
      <c r="C12" s="12"/>
      <c r="D12" s="13"/>
      <c r="E12" s="14"/>
    </row>
    <row r="13" customFormat="false" ht="15" hidden="false" customHeight="false" outlineLevel="0" collapsed="false">
      <c r="A13" s="7" t="s">
        <v>208</v>
      </c>
      <c r="B13" s="7" t="s">
        <v>209</v>
      </c>
      <c r="C13" s="12"/>
      <c r="D13" s="13"/>
      <c r="E13" s="15"/>
    </row>
    <row r="14" customFormat="false" ht="15" hidden="false" customHeight="false" outlineLevel="0" collapsed="false">
      <c r="A14" s="9" t="s">
        <v>210</v>
      </c>
      <c r="B14" s="9" t="s">
        <v>211</v>
      </c>
      <c r="C14" s="12"/>
      <c r="D14" s="13"/>
      <c r="E14" s="14"/>
    </row>
    <row r="15" customFormat="false" ht="15" hidden="false" customHeight="false" outlineLevel="0" collapsed="false">
      <c r="A15" s="7" t="s">
        <v>212</v>
      </c>
      <c r="B15" s="7" t="s">
        <v>213</v>
      </c>
      <c r="C15" s="12"/>
      <c r="D15" s="13"/>
      <c r="E15" s="15"/>
    </row>
    <row r="16" customFormat="false" ht="15" hidden="false" customHeight="false" outlineLevel="0" collapsed="false">
      <c r="A16" s="9" t="s">
        <v>214</v>
      </c>
      <c r="B16" s="9" t="s">
        <v>215</v>
      </c>
      <c r="C16" s="12"/>
      <c r="D16" s="13"/>
      <c r="E16" s="14"/>
    </row>
    <row r="17" customFormat="false" ht="23.85" hidden="false" customHeight="false" outlineLevel="0" collapsed="false">
      <c r="A17" s="7" t="s">
        <v>216</v>
      </c>
      <c r="B17" s="7" t="s">
        <v>217</v>
      </c>
      <c r="C17" s="12"/>
      <c r="D17" s="13"/>
      <c r="E17" s="15"/>
    </row>
  </sheetData>
  <mergeCells count="2">
    <mergeCell ref="A1:E1"/>
    <mergeCell ref="A2:E2"/>
  </mergeCells>
  <conditionalFormatting sqref="E5:E17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E5:E17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4" t="s">
        <v>218</v>
      </c>
      <c r="B1" s="4"/>
      <c r="C1" s="4"/>
      <c r="D1" s="4"/>
      <c r="E1" s="4"/>
    </row>
    <row r="2" customFormat="false" ht="30" hidden="false" customHeight="true" outlineLevel="0" collapsed="false">
      <c r="A2" s="5" t="s">
        <v>219</v>
      </c>
      <c r="B2" s="5"/>
      <c r="C2" s="5"/>
      <c r="D2" s="5"/>
      <c r="E2" s="5"/>
    </row>
    <row r="4" customFormat="false" ht="33.75" hidden="false" customHeight="true" outlineLevel="0" collapsed="false">
      <c r="A4" s="6" t="s">
        <v>220</v>
      </c>
      <c r="B4" s="6" t="s">
        <v>221</v>
      </c>
      <c r="C4" s="6" t="s">
        <v>222</v>
      </c>
      <c r="D4" s="6" t="s">
        <v>223</v>
      </c>
      <c r="E4" s="6" t="s">
        <v>75</v>
      </c>
    </row>
    <row r="5" customFormat="false" ht="23.85" hidden="false" customHeight="false" outlineLevel="0" collapsed="false">
      <c r="A5" s="11" t="s">
        <v>224</v>
      </c>
      <c r="B5" s="11" t="s">
        <v>225</v>
      </c>
      <c r="C5" s="11" t="s">
        <v>226</v>
      </c>
      <c r="D5" s="11"/>
      <c r="E5" s="11" t="s">
        <v>83</v>
      </c>
    </row>
    <row r="6" customFormat="false" ht="23.85" hidden="false" customHeight="false" outlineLevel="0" collapsed="false">
      <c r="A6" s="11" t="s">
        <v>224</v>
      </c>
      <c r="B6" s="11" t="s">
        <v>227</v>
      </c>
      <c r="C6" s="11" t="s">
        <v>228</v>
      </c>
      <c r="D6" s="11"/>
      <c r="E6" s="11" t="s">
        <v>83</v>
      </c>
    </row>
    <row r="7" customFormat="false" ht="23.85" hidden="false" customHeight="false" outlineLevel="0" collapsed="false">
      <c r="A7" s="11" t="s">
        <v>210</v>
      </c>
      <c r="B7" s="11" t="s">
        <v>229</v>
      </c>
      <c r="C7" s="11" t="s">
        <v>230</v>
      </c>
      <c r="D7" s="11"/>
      <c r="E7" s="11" t="s">
        <v>83</v>
      </c>
    </row>
    <row r="8" customFormat="false" ht="23.85" hidden="false" customHeight="false" outlineLevel="0" collapsed="false">
      <c r="A8" s="12"/>
      <c r="B8" s="12" t="s">
        <v>231</v>
      </c>
      <c r="C8" s="12"/>
      <c r="D8" s="12"/>
      <c r="E8" s="15"/>
    </row>
    <row r="9" customFormat="false" ht="35.05" hidden="false" customHeight="false" outlineLevel="0" collapsed="false">
      <c r="A9" s="12"/>
      <c r="B9" s="12" t="s">
        <v>232</v>
      </c>
      <c r="C9" s="12"/>
      <c r="D9" s="12"/>
      <c r="E9" s="15"/>
    </row>
    <row r="10" customFormat="false" ht="23.85" hidden="false" customHeight="false" outlineLevel="0" collapsed="false">
      <c r="A10" s="12"/>
      <c r="B10" s="12" t="s">
        <v>233</v>
      </c>
      <c r="C10" s="12"/>
      <c r="D10" s="12"/>
      <c r="E10" s="15"/>
    </row>
    <row r="11" customFormat="false" ht="15" hidden="false" customHeight="false" outlineLevel="0" collapsed="false">
      <c r="A11" s="12"/>
      <c r="B11" s="12" t="s">
        <v>234</v>
      </c>
      <c r="C11" s="12"/>
      <c r="D11" s="12"/>
      <c r="E11" s="15"/>
    </row>
    <row r="12" customFormat="false" ht="15" hidden="false" customHeight="false" outlineLevel="0" collapsed="false">
      <c r="A12" s="12"/>
      <c r="B12" s="12"/>
      <c r="C12" s="12"/>
      <c r="D12" s="12"/>
      <c r="E12" s="15"/>
    </row>
    <row r="13" customFormat="false" ht="15" hidden="false" customHeight="false" outlineLevel="0" collapsed="false">
      <c r="A13" s="12"/>
      <c r="B13" s="12"/>
      <c r="C13" s="12"/>
      <c r="D13" s="12"/>
      <c r="E13" s="15"/>
    </row>
    <row r="14" customFormat="false" ht="15" hidden="false" customHeight="false" outlineLevel="0" collapsed="false">
      <c r="A14" s="12"/>
      <c r="B14" s="12"/>
      <c r="C14" s="12"/>
      <c r="D14" s="12"/>
      <c r="E14" s="15"/>
    </row>
    <row r="15" customFormat="false" ht="15" hidden="false" customHeight="false" outlineLevel="0" collapsed="false">
      <c r="A15" s="12"/>
      <c r="B15" s="12"/>
      <c r="C15" s="12"/>
      <c r="D15" s="12"/>
      <c r="E15" s="15"/>
    </row>
    <row r="16" customFormat="false" ht="15" hidden="false" customHeight="false" outlineLevel="0" collapsed="false">
      <c r="A16" s="12"/>
      <c r="B16" s="12"/>
      <c r="C16" s="12"/>
      <c r="D16" s="12"/>
      <c r="E16" s="15"/>
    </row>
  </sheetData>
  <mergeCells count="2">
    <mergeCell ref="A1:E1"/>
    <mergeCell ref="A2:E2"/>
  </mergeCells>
  <conditionalFormatting sqref="E5:E16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E5:E16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4" t="s">
        <v>235</v>
      </c>
      <c r="B1" s="4"/>
      <c r="C1" s="4"/>
      <c r="D1" s="4"/>
    </row>
    <row r="2" customFormat="false" ht="30" hidden="false" customHeight="true" outlineLevel="0" collapsed="false">
      <c r="A2" s="5" t="s">
        <v>236</v>
      </c>
      <c r="B2" s="5"/>
      <c r="C2" s="5"/>
      <c r="D2" s="5"/>
    </row>
    <row r="4" customFormat="false" ht="33.75" hidden="false" customHeight="true" outlineLevel="0" collapsed="false">
      <c r="A4" s="6" t="s">
        <v>140</v>
      </c>
      <c r="B4" s="6" t="s">
        <v>141</v>
      </c>
      <c r="C4" s="6" t="s">
        <v>74</v>
      </c>
      <c r="D4" s="6" t="s">
        <v>75</v>
      </c>
    </row>
    <row r="5" customFormat="false" ht="23.85" hidden="false" customHeight="false" outlineLevel="0" collapsed="false">
      <c r="A5" s="7" t="s">
        <v>237</v>
      </c>
      <c r="B5" s="12"/>
      <c r="C5" s="13"/>
      <c r="D5" s="15"/>
    </row>
    <row r="6" customFormat="false" ht="15" hidden="false" customHeight="false" outlineLevel="0" collapsed="false">
      <c r="A6" s="9" t="s">
        <v>238</v>
      </c>
      <c r="B6" s="12"/>
      <c r="C6" s="13"/>
      <c r="D6" s="14"/>
    </row>
    <row r="7" customFormat="false" ht="15" hidden="false" customHeight="false" outlineLevel="0" collapsed="false">
      <c r="A7" s="7" t="s">
        <v>239</v>
      </c>
      <c r="B7" s="12"/>
      <c r="C7" s="13"/>
      <c r="D7" s="15"/>
    </row>
    <row r="8" customFormat="false" ht="15" hidden="false" customHeight="false" outlineLevel="0" collapsed="false">
      <c r="A8" s="9" t="s">
        <v>240</v>
      </c>
      <c r="B8" s="12"/>
      <c r="C8" s="13"/>
      <c r="D8" s="14"/>
    </row>
    <row r="9" customFormat="false" ht="15" hidden="false" customHeight="false" outlineLevel="0" collapsed="false">
      <c r="A9" s="7" t="s">
        <v>241</v>
      </c>
      <c r="B9" s="12"/>
      <c r="C9" s="13"/>
      <c r="D9" s="15"/>
    </row>
    <row r="10" customFormat="false" ht="15" hidden="false" customHeight="false" outlineLevel="0" collapsed="false">
      <c r="A10" s="9" t="s">
        <v>242</v>
      </c>
      <c r="B10" s="12"/>
      <c r="C10" s="13"/>
      <c r="D10" s="14"/>
    </row>
    <row r="11" customFormat="false" ht="15" hidden="false" customHeight="false" outlineLevel="0" collapsed="false">
      <c r="A11" s="7" t="s">
        <v>243</v>
      </c>
      <c r="B11" s="12"/>
      <c r="C11" s="13"/>
      <c r="D11" s="15"/>
    </row>
    <row r="12" customFormat="false" ht="15" hidden="false" customHeight="false" outlineLevel="0" collapsed="false">
      <c r="A12" s="9" t="s">
        <v>244</v>
      </c>
      <c r="B12" s="12"/>
      <c r="C12" s="13"/>
      <c r="D12" s="14"/>
    </row>
  </sheetData>
  <mergeCells count="2">
    <mergeCell ref="A1:D1"/>
    <mergeCell ref="A2:D2"/>
  </mergeCells>
  <conditionalFormatting sqref="D5:D12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D5:D12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4" t="s">
        <v>245</v>
      </c>
      <c r="B1" s="4"/>
      <c r="C1" s="4"/>
      <c r="D1" s="4"/>
      <c r="E1" s="4"/>
    </row>
    <row r="2" customFormat="false" ht="30" hidden="false" customHeight="true" outlineLevel="0" collapsed="false">
      <c r="A2" s="5" t="s">
        <v>246</v>
      </c>
      <c r="B2" s="5"/>
      <c r="C2" s="5"/>
      <c r="D2" s="5"/>
      <c r="E2" s="5"/>
    </row>
    <row r="4" customFormat="false" ht="33.75" hidden="false" customHeight="true" outlineLevel="0" collapsed="false">
      <c r="A4" s="6" t="s">
        <v>140</v>
      </c>
      <c r="B4" s="6" t="s">
        <v>141</v>
      </c>
      <c r="C4" s="6" t="s">
        <v>220</v>
      </c>
      <c r="D4" s="6" t="s">
        <v>22</v>
      </c>
      <c r="E4" s="6" t="s">
        <v>75</v>
      </c>
    </row>
    <row r="5" customFormat="false" ht="15" hidden="false" customHeight="false" outlineLevel="0" collapsed="false">
      <c r="A5" s="11" t="s">
        <v>247</v>
      </c>
      <c r="B5" s="11" t="s">
        <v>248</v>
      </c>
      <c r="C5" s="11" t="s">
        <v>249</v>
      </c>
      <c r="D5" s="11" t="s">
        <v>82</v>
      </c>
      <c r="E5" s="11" t="s">
        <v>83</v>
      </c>
    </row>
    <row r="6" customFormat="false" ht="15" hidden="false" customHeight="false" outlineLevel="0" collapsed="false">
      <c r="A6" s="12"/>
      <c r="B6" s="12"/>
      <c r="C6" s="9"/>
      <c r="D6" s="13"/>
      <c r="E6" s="14"/>
    </row>
    <row r="7" customFormat="false" ht="15" hidden="false" customHeight="false" outlineLevel="0" collapsed="false">
      <c r="A7" s="12"/>
      <c r="B7" s="12"/>
      <c r="C7" s="7"/>
      <c r="D7" s="13"/>
      <c r="E7" s="15"/>
    </row>
    <row r="8" customFormat="false" ht="15" hidden="false" customHeight="false" outlineLevel="0" collapsed="false">
      <c r="A8" s="12"/>
      <c r="B8" s="12"/>
      <c r="C8" s="9"/>
      <c r="D8" s="13"/>
      <c r="E8" s="14"/>
    </row>
    <row r="9" customFormat="false" ht="15" hidden="false" customHeight="false" outlineLevel="0" collapsed="false">
      <c r="A9" s="12"/>
      <c r="B9" s="12"/>
      <c r="C9" s="7"/>
      <c r="D9" s="13"/>
      <c r="E9" s="15"/>
    </row>
    <row r="10" customFormat="false" ht="15" hidden="false" customHeight="false" outlineLevel="0" collapsed="false">
      <c r="A10" s="12"/>
      <c r="B10" s="12"/>
      <c r="C10" s="9"/>
      <c r="D10" s="13"/>
      <c r="E10" s="14"/>
    </row>
    <row r="11" customFormat="false" ht="15" hidden="false" customHeight="false" outlineLevel="0" collapsed="false">
      <c r="A11" s="12"/>
      <c r="B11" s="12"/>
      <c r="C11" s="7"/>
      <c r="D11" s="13"/>
      <c r="E11" s="15"/>
    </row>
    <row r="12" customFormat="false" ht="15" hidden="false" customHeight="false" outlineLevel="0" collapsed="false">
      <c r="A12" s="12"/>
      <c r="B12" s="12"/>
      <c r="C12" s="9"/>
      <c r="D12" s="13"/>
      <c r="E12" s="14"/>
    </row>
    <row r="13" customFormat="false" ht="15" hidden="false" customHeight="false" outlineLevel="0" collapsed="false">
      <c r="A13" s="12"/>
      <c r="B13" s="12"/>
      <c r="C13" s="7"/>
      <c r="D13" s="13"/>
      <c r="E13" s="15"/>
    </row>
    <row r="14" customFormat="false" ht="15" hidden="false" customHeight="false" outlineLevel="0" collapsed="false">
      <c r="A14" s="12"/>
      <c r="B14" s="12"/>
      <c r="C14" s="9"/>
      <c r="D14" s="13"/>
      <c r="E14" s="14"/>
    </row>
    <row r="15" customFormat="false" ht="15" hidden="false" customHeight="false" outlineLevel="0" collapsed="false">
      <c r="A15" s="12"/>
      <c r="B15" s="12"/>
      <c r="C15" s="7"/>
      <c r="D15" s="13"/>
      <c r="E15" s="15"/>
    </row>
    <row r="16" customFormat="false" ht="15" hidden="false" customHeight="false" outlineLevel="0" collapsed="false">
      <c r="A16" s="12"/>
      <c r="B16" s="12"/>
      <c r="C16" s="9"/>
      <c r="D16" s="13"/>
      <c r="E16" s="14"/>
    </row>
    <row r="17" customFormat="false" ht="15" hidden="false" customHeight="false" outlineLevel="0" collapsed="false">
      <c r="A17" s="12"/>
      <c r="B17" s="12"/>
      <c r="C17" s="7"/>
      <c r="D17" s="13"/>
      <c r="E17" s="15"/>
    </row>
    <row r="18" customFormat="false" ht="15" hidden="false" customHeight="false" outlineLevel="0" collapsed="false">
      <c r="A18" s="12"/>
      <c r="B18" s="12"/>
      <c r="C18" s="9"/>
      <c r="D18" s="13"/>
      <c r="E18" s="14"/>
    </row>
    <row r="19" customFormat="false" ht="15" hidden="false" customHeight="false" outlineLevel="0" collapsed="false">
      <c r="A19" s="12"/>
      <c r="B19" s="12"/>
      <c r="C19" s="7"/>
      <c r="D19" s="13"/>
      <c r="E19" s="15"/>
    </row>
    <row r="20" customFormat="false" ht="15" hidden="false" customHeight="false" outlineLevel="0" collapsed="false">
      <c r="A20" s="12"/>
      <c r="B20" s="12"/>
      <c r="C20" s="9"/>
      <c r="D20" s="13"/>
      <c r="E20" s="14"/>
    </row>
    <row r="21" customFormat="false" ht="15" hidden="false" customHeight="false" outlineLevel="0" collapsed="false">
      <c r="A21" s="12"/>
      <c r="B21" s="12"/>
      <c r="C21" s="7"/>
      <c r="D21" s="13"/>
      <c r="E21" s="15"/>
    </row>
    <row r="22" customFormat="false" ht="15" hidden="false" customHeight="false" outlineLevel="0" collapsed="false">
      <c r="A22" s="12"/>
      <c r="B22" s="12"/>
      <c r="C22" s="9"/>
      <c r="D22" s="13"/>
      <c r="E22" s="14"/>
    </row>
    <row r="23" customFormat="false" ht="15" hidden="false" customHeight="false" outlineLevel="0" collapsed="false">
      <c r="A23" s="12"/>
      <c r="B23" s="12"/>
      <c r="C23" s="7"/>
      <c r="D23" s="13"/>
      <c r="E23" s="15"/>
    </row>
    <row r="24" customFormat="false" ht="15" hidden="false" customHeight="false" outlineLevel="0" collapsed="false">
      <c r="A24" s="12"/>
      <c r="B24" s="12"/>
      <c r="C24" s="9"/>
      <c r="D24" s="13"/>
      <c r="E24" s="14"/>
    </row>
    <row r="25" customFormat="false" ht="15" hidden="false" customHeight="false" outlineLevel="0" collapsed="false">
      <c r="A25" s="12"/>
      <c r="B25" s="12"/>
      <c r="C25" s="7"/>
      <c r="D25" s="13"/>
      <c r="E25" s="15"/>
    </row>
    <row r="26" customFormat="false" ht="15" hidden="false" customHeight="false" outlineLevel="0" collapsed="false">
      <c r="A26" s="12"/>
      <c r="B26" s="12"/>
      <c r="C26" s="9"/>
      <c r="D26" s="13"/>
      <c r="E26" s="14"/>
    </row>
    <row r="27" customFormat="false" ht="15" hidden="false" customHeight="false" outlineLevel="0" collapsed="false">
      <c r="A27" s="12"/>
      <c r="B27" s="12"/>
      <c r="C27" s="7"/>
      <c r="D27" s="13"/>
      <c r="E27" s="15"/>
    </row>
    <row r="28" customFormat="false" ht="15" hidden="false" customHeight="false" outlineLevel="0" collapsed="false">
      <c r="A28" s="12"/>
      <c r="B28" s="12"/>
      <c r="C28" s="9"/>
      <c r="D28" s="13"/>
      <c r="E28" s="14"/>
    </row>
    <row r="29" customFormat="false" ht="15" hidden="false" customHeight="false" outlineLevel="0" collapsed="false">
      <c r="A29" s="12"/>
      <c r="B29" s="12"/>
      <c r="C29" s="7"/>
      <c r="D29" s="13"/>
      <c r="E29" s="15"/>
    </row>
  </sheetData>
  <mergeCells count="2">
    <mergeCell ref="A1:E1"/>
    <mergeCell ref="A2:E2"/>
  </mergeCells>
  <conditionalFormatting sqref="E5:E29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2">
    <dataValidation allowBlank="true" errorStyle="stop" operator="between" showDropDown="false" showErrorMessage="false" showInputMessage="false" sqref="D5:D29" type="list">
      <formula1>"rus,kyr,eng"</formula1>
      <formula2>0</formula2>
    </dataValidation>
    <dataValidation allowBlank="true" errorStyle="stop" operator="between" showDropDown="false" showErrorMessage="false" showInputMessage="false" sqref="E5:E29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4" t="s">
        <v>250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251</v>
      </c>
      <c r="B2" s="5"/>
      <c r="C2" s="5"/>
      <c r="D2" s="5"/>
      <c r="E2" s="5"/>
      <c r="F2" s="5"/>
      <c r="G2" s="5"/>
    </row>
    <row r="4" customFormat="false" ht="33.75" hidden="false" customHeight="true" outlineLevel="0" collapsed="false">
      <c r="A4" s="6" t="s">
        <v>252</v>
      </c>
      <c r="B4" s="6" t="s">
        <v>253</v>
      </c>
      <c r="C4" s="6" t="s">
        <v>254</v>
      </c>
      <c r="D4" s="6" t="s">
        <v>255</v>
      </c>
      <c r="E4" s="6" t="s">
        <v>256</v>
      </c>
      <c r="F4" s="6" t="s">
        <v>257</v>
      </c>
      <c r="G4" s="6" t="s">
        <v>75</v>
      </c>
    </row>
    <row r="5" customFormat="false" ht="15" hidden="false" customHeight="false" outlineLevel="0" collapsed="false">
      <c r="A5" s="7" t="s">
        <v>258</v>
      </c>
      <c r="B5" s="12"/>
      <c r="C5" s="12"/>
      <c r="D5" s="12"/>
      <c r="E5" s="12"/>
      <c r="F5" s="12"/>
      <c r="G5" s="15"/>
    </row>
    <row r="6" customFormat="false" ht="15" hidden="false" customHeight="false" outlineLevel="0" collapsed="false">
      <c r="A6" s="9" t="s">
        <v>259</v>
      </c>
      <c r="B6" s="12"/>
      <c r="C6" s="12"/>
      <c r="D6" s="12"/>
      <c r="E6" s="12"/>
      <c r="F6" s="12"/>
      <c r="G6" s="14"/>
    </row>
    <row r="7" customFormat="false" ht="15" hidden="false" customHeight="false" outlineLevel="0" collapsed="false">
      <c r="A7" s="7" t="s">
        <v>260</v>
      </c>
      <c r="B7" s="12"/>
      <c r="C7" s="12"/>
      <c r="D7" s="12"/>
      <c r="E7" s="12"/>
      <c r="F7" s="12"/>
      <c r="G7" s="15"/>
    </row>
    <row r="8" customFormat="false" ht="15" hidden="false" customHeight="false" outlineLevel="0" collapsed="false">
      <c r="A8" s="9" t="s">
        <v>261</v>
      </c>
      <c r="B8" s="12"/>
      <c r="C8" s="12"/>
      <c r="D8" s="12"/>
      <c r="E8" s="12"/>
      <c r="F8" s="12"/>
      <c r="G8" s="14"/>
    </row>
    <row r="9" customFormat="false" ht="15" hidden="false" customHeight="false" outlineLevel="0" collapsed="false">
      <c r="A9" s="7" t="s">
        <v>262</v>
      </c>
      <c r="B9" s="12"/>
      <c r="C9" s="12"/>
      <c r="D9" s="12"/>
      <c r="E9" s="12"/>
      <c r="F9" s="12"/>
      <c r="G9" s="15"/>
    </row>
    <row r="10" customFormat="false" ht="15" hidden="false" customHeight="false" outlineLevel="0" collapsed="false">
      <c r="A10" s="9" t="s">
        <v>263</v>
      </c>
      <c r="B10" s="12"/>
      <c r="C10" s="12"/>
      <c r="D10" s="12"/>
      <c r="E10" s="12"/>
      <c r="F10" s="12"/>
      <c r="G10" s="14"/>
    </row>
    <row r="11" customFormat="false" ht="15" hidden="false" customHeight="false" outlineLevel="0" collapsed="false">
      <c r="A11" s="7" t="s">
        <v>125</v>
      </c>
      <c r="B11" s="12"/>
      <c r="C11" s="12"/>
      <c r="D11" s="12"/>
      <c r="E11" s="12"/>
      <c r="F11" s="12"/>
      <c r="G11" s="15"/>
    </row>
    <row r="12" customFormat="false" ht="15" hidden="false" customHeight="false" outlineLevel="0" collapsed="false">
      <c r="A12" s="9" t="s">
        <v>264</v>
      </c>
      <c r="B12" s="12"/>
      <c r="C12" s="12"/>
      <c r="D12" s="12"/>
      <c r="E12" s="12"/>
      <c r="F12" s="12"/>
      <c r="G12" s="14"/>
    </row>
    <row r="13" customFormat="false" ht="15" hidden="false" customHeight="false" outlineLevel="0" collapsed="false">
      <c r="A13" s="7" t="s">
        <v>265</v>
      </c>
      <c r="B13" s="12"/>
      <c r="C13" s="12"/>
      <c r="D13" s="12"/>
      <c r="E13" s="12"/>
      <c r="F13" s="12"/>
      <c r="G13" s="15"/>
    </row>
    <row r="14" customFormat="false" ht="15" hidden="false" customHeight="false" outlineLevel="0" collapsed="false">
      <c r="A14" s="9" t="s">
        <v>116</v>
      </c>
      <c r="B14" s="12"/>
      <c r="C14" s="12"/>
      <c r="D14" s="12"/>
      <c r="E14" s="12"/>
      <c r="F14" s="12"/>
      <c r="G14" s="14"/>
    </row>
    <row r="15" customFormat="false" ht="15" hidden="false" customHeight="false" outlineLevel="0" collapsed="false">
      <c r="A15" s="7" t="s">
        <v>266</v>
      </c>
      <c r="B15" s="12"/>
      <c r="C15" s="12"/>
      <c r="D15" s="12"/>
      <c r="E15" s="12"/>
      <c r="F15" s="12"/>
      <c r="G15" s="15"/>
    </row>
    <row r="16" customFormat="false" ht="15" hidden="false" customHeight="false" outlineLevel="0" collapsed="false">
      <c r="A16" s="9" t="s">
        <v>267</v>
      </c>
      <c r="B16" s="12"/>
      <c r="C16" s="12"/>
      <c r="D16" s="12"/>
      <c r="E16" s="12"/>
      <c r="F16" s="12"/>
      <c r="G16" s="14"/>
    </row>
    <row r="17" customFormat="false" ht="15" hidden="false" customHeight="false" outlineLevel="0" collapsed="false">
      <c r="A17" s="7" t="s">
        <v>202</v>
      </c>
      <c r="B17" s="12"/>
      <c r="C17" s="12"/>
      <c r="D17" s="12"/>
      <c r="E17" s="12"/>
      <c r="F17" s="12"/>
      <c r="G17" s="15"/>
    </row>
    <row r="18" customFormat="false" ht="15" hidden="false" customHeight="false" outlineLevel="0" collapsed="false">
      <c r="A18" s="9" t="s">
        <v>268</v>
      </c>
      <c r="B18" s="12"/>
      <c r="C18" s="12"/>
      <c r="D18" s="12"/>
      <c r="E18" s="12"/>
      <c r="F18" s="12"/>
      <c r="G18" s="14"/>
    </row>
  </sheetData>
  <mergeCells count="2">
    <mergeCell ref="A1:G1"/>
    <mergeCell ref="A2:G2"/>
  </mergeCells>
  <conditionalFormatting sqref="G5:G18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G5:G18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4" t="s">
        <v>269</v>
      </c>
      <c r="B1" s="4"/>
      <c r="C1" s="4"/>
      <c r="D1" s="4"/>
    </row>
    <row r="2" customFormat="false" ht="30" hidden="false" customHeight="true" outlineLevel="0" collapsed="false">
      <c r="A2" s="5" t="s">
        <v>270</v>
      </c>
      <c r="B2" s="5"/>
      <c r="C2" s="5"/>
      <c r="D2" s="5"/>
    </row>
    <row r="4" customFormat="false" ht="33.75" hidden="false" customHeight="true" outlineLevel="0" collapsed="false">
      <c r="A4" s="6" t="s">
        <v>271</v>
      </c>
      <c r="B4" s="6" t="s">
        <v>272</v>
      </c>
      <c r="C4" s="6" t="s">
        <v>273</v>
      </c>
      <c r="D4" s="6" t="s">
        <v>75</v>
      </c>
    </row>
    <row r="5" customFormat="false" ht="15" hidden="false" customHeight="false" outlineLevel="0" collapsed="false">
      <c r="A5" s="7" t="s">
        <v>274</v>
      </c>
      <c r="B5" s="7" t="s">
        <v>275</v>
      </c>
      <c r="C5" s="12"/>
      <c r="D5" s="15"/>
    </row>
    <row r="6" customFormat="false" ht="15" hidden="false" customHeight="false" outlineLevel="0" collapsed="false">
      <c r="A6" s="9" t="s">
        <v>276</v>
      </c>
      <c r="B6" s="9" t="s">
        <v>277</v>
      </c>
      <c r="C6" s="12"/>
      <c r="D6" s="14"/>
    </row>
    <row r="7" customFormat="false" ht="15" hidden="false" customHeight="false" outlineLevel="0" collapsed="false">
      <c r="A7" s="7" t="s">
        <v>278</v>
      </c>
      <c r="B7" s="7" t="s">
        <v>279</v>
      </c>
      <c r="C7" s="12"/>
      <c r="D7" s="15"/>
    </row>
    <row r="8" customFormat="false" ht="15" hidden="false" customHeight="false" outlineLevel="0" collapsed="false">
      <c r="A8" s="9" t="s">
        <v>280</v>
      </c>
      <c r="B8" s="9" t="s">
        <v>281</v>
      </c>
      <c r="C8" s="12"/>
      <c r="D8" s="14"/>
    </row>
    <row r="9" customFormat="false" ht="15" hidden="false" customHeight="false" outlineLevel="0" collapsed="false">
      <c r="A9" s="7" t="s">
        <v>282</v>
      </c>
      <c r="B9" s="7" t="s">
        <v>283</v>
      </c>
      <c r="C9" s="12"/>
      <c r="D9" s="15"/>
    </row>
    <row r="10" customFormat="false" ht="15" hidden="false" customHeight="false" outlineLevel="0" collapsed="false">
      <c r="A10" s="9" t="s">
        <v>284</v>
      </c>
      <c r="B10" s="9" t="s">
        <v>285</v>
      </c>
      <c r="C10" s="12"/>
      <c r="D10" s="14"/>
    </row>
  </sheetData>
  <mergeCells count="2">
    <mergeCell ref="A1:D1"/>
    <mergeCell ref="A2:D2"/>
  </mergeCells>
  <conditionalFormatting sqref="D5:D10">
    <cfRule type="cellIs" priority="2" operator="equal" aboveAverage="0" equalAverage="0" bottom="0" percent="0" rank="0" text="" dxfId="0">
      <formula>"Готово"</formula>
    </cfRule>
    <cfRule type="cellIs" priority="3" operator="equal" aboveAverage="0" equalAverage="0" bottom="0" percent="0" rank="0" text="" dxfId="1">
      <formula>"В работе"</formula>
    </cfRule>
    <cfRule type="cellIs" priority="4" operator="equal" aboveAverage="0" equalAverage="0" bottom="0" percent="0" rank="0" text="" dxfId="2">
      <formula>"Нет данных"</formula>
    </cfRule>
  </conditionalFormatting>
  <dataValidations count="1">
    <dataValidation allowBlank="true" errorStyle="stop" operator="between" showDropDown="false" showErrorMessage="false" showInputMessage="false" sqref="D5:D10" type="list">
      <formula1>"Готово,В работе,Нет данных"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2026-06-15T18:14:51Z</dcterms:created>
  <dc:creator>openpyxl</dc:creator>
  <dc:description/>
  <dc:language>en-US</dc:language>
  <cp:lastModifiedBy/>
  <dcterms:modified xsi:type="dcterms:W3CDTF">2026-06-15T18:14:51Z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